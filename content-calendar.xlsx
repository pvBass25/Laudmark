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90-Day Calendar" sheetId="2" state="visible" r:id="rId4"/>
    <sheet name="Weekly Loop" sheetId="3" state="visible" r:id="rId5"/>
    <sheet name="Prompt Library" sheetId="4" state="visible" r:id="rId6"/>
    <sheet name="Budget" sheetId="5" state="visible" r:id="rId7"/>
    <sheet name="Metric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<sst xmlns="http://schemas.openxmlformats.org/spreadsheetml/2006/main" count="696" uniqueCount="325">
  <si>
    <t xml:space="preserve">TrustWall — 90-Day Content Calendar</t>
  </si>
  <si>
    <t xml:space="preserve">Companion to MARKETING_PLAN.md. Cheap (&lt;$100/mo), Claude-powered. Beachhead niche: coaches.</t>
  </si>
  <si>
    <t xml:space="preserve">HOW TO USE</t>
  </si>
  <si>
    <t xml:space="preserve">1</t>
  </si>
  <si>
    <t xml:space="preserve">Work the '90-Day Calendar' tab top to bottom, one week at a time. Each row is one task.</t>
  </si>
  <si>
    <t xml:space="preserve">2</t>
  </si>
  <si>
    <t xml:space="preserve">Tasks marked with a 'Prompt' reference have paste-ready Claude prompts in the 'Prompt Library' tab.</t>
  </si>
  <si>
    <t xml:space="preserve">3</t>
  </si>
  <si>
    <t xml:space="preserve">Fill the 'Status' column (Todo / Doing / Done). Log results each Friday in the 'Metrics' tab.</t>
  </si>
  <si>
    <t xml:space="preserve">4</t>
  </si>
  <si>
    <t xml:space="preserve">You are the strategist + voice + fact-checker. Claude drafts, researches, and repurposes.</t>
  </si>
  <si>
    <t xml:space="preserve">5</t>
  </si>
  <si>
    <t xml:space="preserve">Run ONE experiment at a time. Master Tier-1 channels before adding anything new.</t>
  </si>
  <si>
    <t xml:space="preserve">TABS</t>
  </si>
  <si>
    <t xml:space="preserve">90-Day Calendar</t>
  </si>
  <si>
    <t xml:space="preserve">Week-by-week task list across all channels (the core plan).</t>
  </si>
  <si>
    <t xml:space="preserve">Weekly Loop</t>
  </si>
  <si>
    <t xml:space="preserve">The repeatable ~7.5 hr/week cadence to run after day 90.</t>
  </si>
  <si>
    <t xml:space="preserve">Prompt Library</t>
  </si>
  <si>
    <t xml:space="preserve">9 paste-ready Claude prompts (A–I) for every recurring task.</t>
  </si>
  <si>
    <t xml:space="preserve">Budget</t>
  </si>
  <si>
    <t xml:space="preserve">Line-item monthly spend — stays under $100/mo.</t>
  </si>
  <si>
    <t xml:space="preserve">Metrics</t>
  </si>
  <si>
    <t xml:space="preserve">90-day targets + a weekly tracker with an auto activation-rate formula.</t>
  </si>
  <si>
    <t xml:space="preserve">CHANNEL KEY</t>
  </si>
  <si>
    <t xml:space="preserve">SEO</t>
  </si>
  <si>
    <t xml:space="preserve">Articles: pain-point clusters, comparison/'vs' pages, template/tool pages.</t>
  </si>
  <si>
    <t xml:space="preserve">Social</t>
  </si>
  <si>
    <t xml:space="preserve">Build-in-public posts on X + LinkedIn.</t>
  </si>
  <si>
    <t xml:space="preserve">Community</t>
  </si>
  <si>
    <t xml:space="preserve">Value-first help in Skool / Facebook groups / subreddits / Indie Hackers.</t>
  </si>
  <si>
    <t xml:space="preserve">Outreach</t>
  </si>
  <si>
    <t xml:space="preserve">Personalized, intent-based DMs + white-glove onboarding.</t>
  </si>
  <si>
    <t xml:space="preserve">Launch</t>
  </si>
  <si>
    <t xml:space="preserve">Product Hunt + BetaList + Firsto + Reddit + Indie Hackers (staggered).</t>
  </si>
  <si>
    <t xml:space="preserve">Dogfood / Email / Review</t>
  </si>
  <si>
    <t xml:space="preserve">Use TrustWall on yourself; lifecycle email; weekly review.</t>
  </si>
  <si>
    <t xml:space="preserve">Week</t>
  </si>
  <si>
    <t xml:space="preserve">Dates (2026)</t>
  </si>
  <si>
    <t xml:space="preserve">Phase</t>
  </si>
  <si>
    <t xml:space="preserve">Channel</t>
  </si>
  <si>
    <t xml:space="preserve">Task</t>
  </si>
  <si>
    <t xml:space="preserve">Claude asset</t>
  </si>
  <si>
    <t xml:space="preserve">Est. hrs</t>
  </si>
  <si>
    <t xml:space="preserve">Cost</t>
  </si>
  <si>
    <t xml:space="preserve">KPI / Target</t>
  </si>
  <si>
    <t xml:space="preserve">Status</t>
  </si>
  <si>
    <t xml:space="preserve">W1</t>
  </si>
  <si>
    <t xml:space="preserve">Jun 8–14</t>
  </si>
  <si>
    <t xml:space="preserve">1 · Foundation</t>
  </si>
  <si>
    <t xml:space="preserve">Setup</t>
  </si>
  <si>
    <t xml:space="preserve">Lock the one-liner + the 'vs Testimonial.to' positioning story</t>
  </si>
  <si>
    <t xml:space="preserve">Prompt A &amp; C</t>
  </si>
  <si>
    <t xml:space="preserve">$0</t>
  </si>
  <si>
    <t xml:space="preserve">Messaging locked</t>
  </si>
  <si>
    <t xml:space="preserve">Set up Google Search Console + analytics; clean up X &amp; LinkedIn profiles</t>
  </si>
  <si>
    <t xml:space="preserve">—</t>
  </si>
  <si>
    <t xml:space="preserve">Tracking live</t>
  </si>
  <si>
    <t xml:space="preserve">Dogfood</t>
  </si>
  <si>
    <t xml:space="preserve">Stand up your own TrustWall wall; ask 5 friendly coaches for a testimonial</t>
  </si>
  <si>
    <t xml:space="preserve">Prompt F</t>
  </si>
  <si>
    <t xml:space="preserve">5 requests sent</t>
  </si>
  <si>
    <t xml:space="preserve">Publish cornerstone #1: 'TrustWall vs Testimonial.to (for coaches)'</t>
  </si>
  <si>
    <t xml:space="preserve">Prompt C</t>
  </si>
  <si>
    <t xml:space="preserve">1 page live</t>
  </si>
  <si>
    <t xml:space="preserve">Email</t>
  </si>
  <si>
    <t xml:space="preserve">Write + switch on the 4-email onboarding sequence</t>
  </si>
  <si>
    <t xml:space="preserve">Prompt G</t>
  </si>
  <si>
    <t xml:space="preserve">Sequence sending</t>
  </si>
  <si>
    <t xml:space="preserve">First 5 build-in-public posts (the launch story)</t>
  </si>
  <si>
    <t xml:space="preserve">Prompt D</t>
  </si>
  <si>
    <t xml:space="preserve">5 posts</t>
  </si>
  <si>
    <t xml:space="preserve">W2</t>
  </si>
  <si>
    <t xml:space="preserve">Jun 15–21</t>
  </si>
  <si>
    <t xml:space="preserve">Cornerstone #2: 'How coaches get Google star ratings (without slowing their site)'</t>
  </si>
  <si>
    <t xml:space="preserve">Prompt A → B</t>
  </si>
  <si>
    <t xml:space="preserve">Keyword map: 15–20 coach pain-point keywords → cluster plan</t>
  </si>
  <si>
    <t xml:space="preserve">Prompt A</t>
  </si>
  <si>
    <t xml:space="preserve">Keyword map done</t>
  </si>
  <si>
    <t xml:space="preserve">Join 3 coach communities (Skool / Facebook / subreddits); introduce yourself, no pitch</t>
  </si>
  <si>
    <t xml:space="preserve">3 joined</t>
  </si>
  <si>
    <t xml:space="preserve">Publish your Wall of Love; collect 5 real testimonials</t>
  </si>
  <si>
    <t xml:space="preserve">5+ live</t>
  </si>
  <si>
    <t xml:space="preserve">5 build-in-public posts incl. 1 'view-source' wedge demo</t>
  </si>
  <si>
    <t xml:space="preserve">W3</t>
  </si>
  <si>
    <t xml:space="preserve">Jun 22–28</t>
  </si>
  <si>
    <t xml:space="preserve">Article 3: 'How to ask clients for a testimonial (email scripts + templates)'</t>
  </si>
  <si>
    <t xml:space="preserve">Prompt B</t>
  </si>
  <si>
    <t xml:space="preserve">Article 4 (template/tool page): 'Free wall-of-love + request email templates'</t>
  </si>
  <si>
    <t xml:space="preserve">5 value-first answers across communities</t>
  </si>
  <si>
    <t xml:space="preserve">Prompt E</t>
  </si>
  <si>
    <t xml:space="preserve">5 helpful posts</t>
  </si>
  <si>
    <t xml:space="preserve">White-glove onboard your first 3–5 users by hand</t>
  </si>
  <si>
    <t xml:space="preserve">3–5 onboarded</t>
  </si>
  <si>
    <t xml:space="preserve">5 build-in-public posts</t>
  </si>
  <si>
    <t xml:space="preserve">Review</t>
  </si>
  <si>
    <t xml:space="preserve">Phase 1 exit check + plan Phase 2</t>
  </si>
  <si>
    <t xml:space="preserve">Exit criteria met</t>
  </si>
  <si>
    <t xml:space="preserve">W4</t>
  </si>
  <si>
    <t xml:space="preserve">Jun 29–Jul 5</t>
  </si>
  <si>
    <t xml:space="preserve">2 · Engine</t>
  </si>
  <si>
    <t xml:space="preserve">2 articles: 'Senja alternative for coaches' (comparison) + 1 pain-point</t>
  </si>
  <si>
    <t xml:space="preserve">Prompt C, B</t>
  </si>
  <si>
    <t xml:space="preserve">2 pages live</t>
  </si>
  <si>
    <t xml:space="preserve">5 value-first answers + 1 Indie Hackers milestone post</t>
  </si>
  <si>
    <t xml:space="preserve">Prompt E, D</t>
  </si>
  <si>
    <t xml:space="preserve">6 posts</t>
  </si>
  <si>
    <t xml:space="preserve">5–10 personalized DMs to intent signals</t>
  </si>
  <si>
    <t xml:space="preserve">5–10 DMs</t>
  </si>
  <si>
    <t xml:space="preserve">Repurpose</t>
  </si>
  <si>
    <t xml:space="preserve">Turn the week's best article into a thread + posts</t>
  </si>
  <si>
    <t xml:space="preserve">Prompt I</t>
  </si>
  <si>
    <t xml:space="preserve">1 → many</t>
  </si>
  <si>
    <t xml:space="preserve">W5</t>
  </si>
  <si>
    <t xml:space="preserve">Jul 6–12</t>
  </si>
  <si>
    <t xml:space="preserve">2 articles (pain-point cluster)</t>
  </si>
  <si>
    <t xml:space="preserve">5 value-first answers</t>
  </si>
  <si>
    <t xml:space="preserve">5–10 personalized DMs + white-glove onboarding</t>
  </si>
  <si>
    <t xml:space="preserve">Referral</t>
  </si>
  <si>
    <t xml:space="preserve">Add a light referral ask to happy free users</t>
  </si>
  <si>
    <t xml:space="preserve">Ask live</t>
  </si>
  <si>
    <t xml:space="preserve">W6</t>
  </si>
  <si>
    <t xml:space="preserve">Jul 13–19</t>
  </si>
  <si>
    <t xml:space="preserve">2 articles (1 comparison + 1 template page)</t>
  </si>
  <si>
    <t xml:space="preserve">Launch prep</t>
  </si>
  <si>
    <t xml:space="preserve">Build launch waitlist landing page + start teasing it</t>
  </si>
  <si>
    <t xml:space="preserve">Waitlist live</t>
  </si>
  <si>
    <t xml:space="preserve">10 personalized DMs</t>
  </si>
  <si>
    <t xml:space="preserve">10 DMs</t>
  </si>
  <si>
    <t xml:space="preserve">W7</t>
  </si>
  <si>
    <t xml:space="preserve">Jul 20–26</t>
  </si>
  <si>
    <t xml:space="preserve">2 articles</t>
  </si>
  <si>
    <t xml:space="preserve">Content</t>
  </si>
  <si>
    <t xml:space="preserve">Draft first case study from a white-glove user</t>
  </si>
  <si>
    <t xml:space="preserve">Draft done</t>
  </si>
  <si>
    <t xml:space="preserve">Prep Product Hunt assets (tagline, gallery, description, first comment)</t>
  </si>
  <si>
    <t xml:space="preserve">Assets ready</t>
  </si>
  <si>
    <t xml:space="preserve">5 build-in-public posts incl. waitlist push</t>
  </si>
  <si>
    <t xml:space="preserve">W8</t>
  </si>
  <si>
    <t xml:space="preserve">Jul 27–Aug 2</t>
  </si>
  <si>
    <t xml:space="preserve">Finalize launch email + directory blurbs (BetaList, Firsto)</t>
  </si>
  <si>
    <t xml:space="preserve">Prompt G, D</t>
  </si>
  <si>
    <t xml:space="preserve">Assets final</t>
  </si>
  <si>
    <t xml:space="preserve">5 value-first answers + Indie Hackers 'launching next week' post</t>
  </si>
  <si>
    <t xml:space="preserve">Phase 2 exit check; confirm waitlist + assets ready</t>
  </si>
  <si>
    <t xml:space="preserve">W9</t>
  </si>
  <si>
    <t xml:space="preserve">Aug 3–9</t>
  </si>
  <si>
    <t xml:space="preserve">3 · Launch &amp; Scale</t>
  </si>
  <si>
    <t xml:space="preserve">Product Hunt launch (12:01am PST, Tue–Thu); reply to every comment &lt;4h for 24–48h</t>
  </si>
  <si>
    <t xml:space="preserve">PH live, all comments answered</t>
  </si>
  <si>
    <t xml:space="preserve">Stagger submissions: BetaList, Firsto, relevant directories</t>
  </si>
  <si>
    <t xml:space="preserve">3+ submissions</t>
  </si>
  <si>
    <t xml:space="preserve">Reddit problem-statement post + Indie Hackers 'we launched'</t>
  </si>
  <si>
    <t xml:space="preserve">2 posts</t>
  </si>
  <si>
    <t xml:space="preserve">'We're live' email to list + waitlist</t>
  </si>
  <si>
    <t xml:space="preserve">Sent</t>
  </si>
  <si>
    <t xml:space="preserve">Launch-day posts on X + LinkedIn</t>
  </si>
  <si>
    <t xml:space="preserve">Posts live</t>
  </si>
  <si>
    <t xml:space="preserve">W10</t>
  </si>
  <si>
    <t xml:space="preserve">Aug 10–16</t>
  </si>
  <si>
    <t xml:space="preserve">Publish launch case study: 'How [coach] got Google stars in a week'</t>
  </si>
  <si>
    <t xml:space="preserve">1 case study live</t>
  </si>
  <si>
    <t xml:space="preserve">1–2 articles continuing clusters</t>
  </si>
  <si>
    <t xml:space="preserve">1–2 pages</t>
  </si>
  <si>
    <t xml:space="preserve">Analyze</t>
  </si>
  <si>
    <t xml:space="preserve">Review which channel converted best at launch; double down</t>
  </si>
  <si>
    <t xml:space="preserve">Decision made</t>
  </si>
  <si>
    <t xml:space="preserve">5 posts incl. launch results recap</t>
  </si>
  <si>
    <t xml:space="preserve">W11</t>
  </si>
  <si>
    <t xml:space="preserve">Aug 17–23</t>
  </si>
  <si>
    <t xml:space="preserve">2 articles (double down on best-performing type)</t>
  </si>
  <si>
    <t xml:space="preserve">Prompt B, C</t>
  </si>
  <si>
    <t xml:space="preserve">2 pages</t>
  </si>
  <si>
    <t xml:space="preserve">2nd case study / testimonial spotlight</t>
  </si>
  <si>
    <t xml:space="preserve">1 piece</t>
  </si>
  <si>
    <t xml:space="preserve">Experiment</t>
  </si>
  <si>
    <t xml:space="preserve">Run ONE paywall or headline experiment</t>
  </si>
  <si>
    <t xml:space="preserve">$0–15</t>
  </si>
  <si>
    <t xml:space="preserve">1 experiment</t>
  </si>
  <si>
    <t xml:space="preserve">W12</t>
  </si>
  <si>
    <t xml:space="preserve">Aug 24–30</t>
  </si>
  <si>
    <t xml:space="preserve">5 posts + a 90-day recap thread</t>
  </si>
  <si>
    <t xml:space="preserve">Prompt D, I</t>
  </si>
  <si>
    <t xml:space="preserve">90-day review vs targets; lock the weekly loop</t>
  </si>
  <si>
    <t xml:space="preserve">Loop locked</t>
  </si>
  <si>
    <t xml:space="preserve">Plan</t>
  </si>
  <si>
    <t xml:space="preserve">Decide niche #2 (course creators) expansion</t>
  </si>
  <si>
    <t xml:space="preserve">Prompt H</t>
  </si>
  <si>
    <t xml:space="preserve">TOTAL estimated hours →</t>
  </si>
  <si>
    <t xml:space="preserve">The repeatable weekly loop (run after day 90)</t>
  </si>
  <si>
    <t xml:space="preserve">~7.5 focused hours/week, mostly with Claude. Consistency compounds; sprints don't.</t>
  </si>
  <si>
    <t xml:space="preserve">Activity</t>
  </si>
  <si>
    <t xml:space="preserve">Cadence</t>
  </si>
  <si>
    <t xml:space="preserve">KPI</t>
  </si>
  <si>
    <t xml:space="preserve">Publish 2 articles (pain-point / comparison / template)</t>
  </si>
  <si>
    <t xml:space="preserve">Weekly</t>
  </si>
  <si>
    <t xml:space="preserve">Prompt A → B / C</t>
  </si>
  <si>
    <t xml:space="preserve">2 indexed pages</t>
  </si>
  <si>
    <t xml:space="preserve">5 build-in-public posts (X + LinkedIn)</t>
  </si>
  <si>
    <t xml:space="preserve">Reach + signups</t>
  </si>
  <si>
    <t xml:space="preserve">~5 community touchpoints (help first)</t>
  </si>
  <si>
    <t xml:space="preserve">Profile clicks</t>
  </si>
  <si>
    <t xml:space="preserve">~10 personalized DMs to intent signals</t>
  </si>
  <si>
    <t xml:space="preserve">Reply rate</t>
  </si>
  <si>
    <t xml:space="preserve">1 case study / customer win, repurposed</t>
  </si>
  <si>
    <t xml:space="preserve">Prompt B / I</t>
  </si>
  <si>
    <t xml:space="preserve">1 asset → many</t>
  </si>
  <si>
    <t xml:space="preserve">Weekly review + queue next week</t>
  </si>
  <si>
    <t xml:space="preserve">Metrics updated</t>
  </si>
  <si>
    <t xml:space="preserve">TOTAL / week</t>
  </si>
  <si>
    <t xml:space="preserve">Claude Prompt Library</t>
  </si>
  <si>
    <t xml:space="preserve">Paste-ready. Always supply your first-hand take + screenshots, and fact-check before publishing. Never fabricate testimonials, names, numbers, or stats.</t>
  </si>
  <si>
    <t xml:space="preserve">Ref</t>
  </si>
  <si>
    <t xml:space="preserve">Name</t>
  </si>
  <si>
    <t xml:space="preserve">When to use</t>
  </si>
  <si>
    <t xml:space="preserve">Prompt (paste into Claude)</t>
  </si>
  <si>
    <t xml:space="preserve">A</t>
  </si>
  <si>
    <t xml:space="preserve">SEO content brief</t>
  </si>
  <si>
    <t xml:space="preserve">Before writing any article</t>
  </si>
  <si>
    <t xml:space="preserve">You're an SEO strategist for TrustWall, a testimonial tool for coaches whose wedge is SEO-positive embeds (server-rendered review text + schema.org markup that earns Google star ratings, on the $19 plan vs competitors' $80 tier). Target keyword: [keyword]. Give me: search intent, who's searching and why, an outline (H2/H3) that genuinely answers it, the angle only we can write from, 3 title options, a meta description, and 4 internal-link ideas. Don't write the article yet.</t>
  </si>
  <si>
    <t xml:space="preserve">B</t>
  </si>
  <si>
    <t xml:space="preserve">Article draft (your voice)</t>
  </si>
  <si>
    <t xml:space="preserve">To draft any article/case study</t>
  </si>
  <si>
    <t xml:space="preserve">Write the article from this brief: [paste brief]. Audience: solo coaches, not technical. Voice: clear, warm, concrete, no hype, no fluff. ~1,200 words. Use real specifics; where you'd need a fact/number/screenshot I should supply, mark it [FILL: …]. Never invent stats, customer names, or testimonials. End with one soft CTA to start free.</t>
  </si>
  <si>
    <t xml:space="preserve">C</t>
  </si>
  <si>
    <t xml:space="preserve">Comparison / 'vs' page</t>
  </si>
  <si>
    <t xml:space="preserve">High-intent bottom-funnel pages</t>
  </si>
  <si>
    <t xml:space="preserve">Draft a 'TrustWall vs Testimonial.to' page for coaches. Use ONLY these verified facts: [paste the competitor table + notes]. Be fair — note where they're stronger. Center the comparison on what a coach actually cares about: Google star ratings, page speed, price, consent/automation. Include a comparison table and an honest 'who should pick which' section. Mark anything you're unsure of as [VERIFY]. No fabricated claims.</t>
  </si>
  <si>
    <t xml:space="preserve">D</t>
  </si>
  <si>
    <t xml:space="preserve">Build-in-public post / thread</t>
  </si>
  <si>
    <t xml:space="preserve">Daily social + launch posts</t>
  </si>
  <si>
    <t xml:space="preserve">Turn this into (1) an X thread and (2) a LinkedIn post, in a build-in-public founder voice — honest, specific, a little vulnerable, no growth-hacky hype: [paste the update / metric / shipped feature / screenshot description]. Hook in the first line. One clear takeaway. Soft, optional mention of TrustWall.</t>
  </si>
  <si>
    <t xml:space="preserve">E</t>
  </si>
  <si>
    <t xml:space="preserve">Community reply (value-first)</t>
  </si>
  <si>
    <t xml:space="preserve">Answering community questions</t>
  </si>
  <si>
    <t xml:space="preserve">Here's a post from [community] asking [paste]. Write a genuinely helpful reply that solves their problem first. Mention TrustWall only if directly relevant, once, as 'one option' — never salesy. Match the community's casual tone.</t>
  </si>
  <si>
    <t xml:space="preserve">F</t>
  </si>
  <si>
    <t xml:space="preserve">Intent-based DM</t>
  </si>
  <si>
    <t xml:space="preserve">Personalized outreach + dogfood asks</t>
  </si>
  <si>
    <t xml:space="preserve">This person publicly posted: [paste]. Write a short, human DM (3–4 sentences) that references their specific situation, offers real help, and only mentions TrustWall if it genuinely fits. No template feel, no pitch energy. Goal is a conversation, not a click.</t>
  </si>
  <si>
    <t xml:space="preserve">G</t>
  </si>
  <si>
    <t xml:space="preserve">Lifecycle / onboarding email</t>
  </si>
  <si>
    <t xml:space="preserve">Onboarding, nudges, launch email</t>
  </si>
  <si>
    <t xml:space="preserve">Write a [welcome / 48h-nudge / embed-code / soft-upgrade] email for a coach who just signed up free. Goal: get them to collect their first testimonial (our activation metric) / embed it / see Google stars. &lt;120 words, one CTA, warm and concrete. Give me 2 subject lines.</t>
  </si>
  <si>
    <t xml:space="preserve">H</t>
  </si>
  <si>
    <t xml:space="preserve">Niche pivot</t>
  </si>
  <si>
    <t xml:space="preserve">Expanding past coaches</t>
  </si>
  <si>
    <t xml:space="preserve">Rewrite this coach-targeted asset for [course creators / consultants]: [paste]. Swap vocabulary, examples, and pain points to fit them. Keep the wedge and structure. Flag anything that no longer applies.</t>
  </si>
  <si>
    <t xml:space="preserve">I</t>
  </si>
  <si>
    <t xml:space="preserve">Repurpose 1 → many</t>
  </si>
  <si>
    <t xml:space="preserve">Squeeze more from each asset</t>
  </si>
  <si>
    <t xml:space="preserve">From this article [paste/link], give me: 1 X thread, 1 LinkedIn post, 3 short community-answer snippets, and 2 email subject lines. Keep my voice. No fabricated claims or stats.</t>
  </si>
  <si>
    <t xml:space="preserve">Monthly Budget (target: under $100/mo)</t>
  </si>
  <si>
    <t xml:space="preserve">Everything works at $0 if fully organic; optional tools just save time. The expensive input is consistency, not cash.</t>
  </si>
  <si>
    <t xml:space="preserve">Item</t>
  </si>
  <si>
    <t xml:space="preserve">Tool</t>
  </si>
  <si>
    <t xml:space="preserve">Low ($/mo)</t>
  </si>
  <si>
    <t xml:space="preserve">High ($/mo)</t>
  </si>
  <si>
    <t xml:space="preserve">Notes</t>
  </si>
  <si>
    <t xml:space="preserve">AI execution engine</t>
  </si>
  <si>
    <t xml:space="preserve">Claude</t>
  </si>
  <si>
    <t xml:space="preserve">Drafting, research, repurposing — the core engine</t>
  </si>
  <si>
    <t xml:space="preserve">Email sending</t>
  </si>
  <si>
    <t xml:space="preserve">Resend (free tier)</t>
  </si>
  <si>
    <t xml:space="preserve">Ample at this volume</t>
  </si>
  <si>
    <t xml:space="preserve">Analytics</t>
  </si>
  <si>
    <t xml:space="preserve">PostHog / Plausible (free tier)</t>
  </si>
  <si>
    <t xml:space="preserve">Funnel + activation tracking</t>
  </si>
  <si>
    <t xml:space="preserve">Search data</t>
  </si>
  <si>
    <t xml:space="preserve">Google Search Console + 1 light keyword tool (optional)</t>
  </si>
  <si>
    <t xml:space="preserve">Keyword research</t>
  </si>
  <si>
    <t xml:space="preserve">Social scheduling</t>
  </si>
  <si>
    <t xml:space="preserve">Manual or free-tier scheduler</t>
  </si>
  <si>
    <t xml:space="preserve">Optional time-saver</t>
  </si>
  <si>
    <t xml:space="preserve">Launch / directories</t>
  </si>
  <si>
    <t xml:space="preserve">Product Hunt, BetaList, Firsto, Reddit, Indie Hackers</t>
  </si>
  <si>
    <t xml:space="preserve">Free</t>
  </si>
  <si>
    <t xml:space="preserve">Experiment buffer</t>
  </si>
  <si>
    <t xml:space="preserve">One paid test at a time</t>
  </si>
  <si>
    <t xml:space="preserve">Optional</t>
  </si>
  <si>
    <t xml:space="preserve">TOTAL</t>
  </si>
  <si>
    <t xml:space="preserve">Target ceiling</t>
  </si>
  <si>
    <t xml:space="preserve">Metrics &amp; Weekly Tracker</t>
  </si>
  <si>
    <t xml:space="preserve">North-star = activation (free users who collected their first testimonial). Judge yourself on leading indicators early; lagging numbers follow.</t>
  </si>
  <si>
    <t xml:space="preserve">90-DAY TARGETS</t>
  </si>
  <si>
    <t xml:space="preserve">Metric</t>
  </si>
  <si>
    <t xml:space="preserve">90-day target</t>
  </si>
  <si>
    <t xml:space="preserve">Type</t>
  </si>
  <si>
    <t xml:space="preserve">Articles published &amp; indexed</t>
  </si>
  <si>
    <t xml:space="preserve">12–20</t>
  </si>
  <si>
    <t xml:space="preserve">Leading / output</t>
  </si>
  <si>
    <t xml:space="preserve">Free signups</t>
  </si>
  <si>
    <t xml:space="preserve">50–100</t>
  </si>
  <si>
    <t xml:space="preserve">Lagging</t>
  </si>
  <si>
    <t xml:space="preserve">Activation rate (collected 1st testimonial)</t>
  </si>
  <si>
    <t xml:space="preserve">40%+</t>
  </si>
  <si>
    <t xml:space="preserve">NORTH-STAR</t>
  </si>
  <si>
    <t xml:space="preserve">Paying customers (Pro $19 / Studio $39)</t>
  </si>
  <si>
    <t xml:space="preserve">5–10</t>
  </si>
  <si>
    <t xml:space="preserve">MRR</t>
  </si>
  <si>
    <t xml:space="preserve">$100–300</t>
  </si>
  <si>
    <t xml:space="preserve">Launch executed (PH + 2 more surfaces)</t>
  </si>
  <si>
    <t xml:space="preserve">Yes</t>
  </si>
  <si>
    <t xml:space="preserve">Milestone</t>
  </si>
  <si>
    <t xml:space="preserve">WEEKLY TRACKER (fill each Friday — activation % is automatic)</t>
  </si>
  <si>
    <t xml:space="preserve">Articles</t>
  </si>
  <si>
    <t xml:space="preserve">Social posts</t>
  </si>
  <si>
    <t xml:space="preserve">DMs</t>
  </si>
  <si>
    <t xml:space="preserve">Signups</t>
  </si>
  <si>
    <t xml:space="preserve">Activated</t>
  </si>
  <si>
    <t xml:space="preserve">Activation %</t>
  </si>
  <si>
    <t xml:space="preserve">Paying</t>
  </si>
  <si>
    <t xml:space="preserve">MRR ($)</t>
  </si>
  <si>
    <t xml:space="preserve">W1 Jun 8</t>
  </si>
  <si>
    <t xml:space="preserve">W2 Jun 15</t>
  </si>
  <si>
    <t xml:space="preserve">W3 Jun 22</t>
  </si>
  <si>
    <t xml:space="preserve">W4 Jun 29</t>
  </si>
  <si>
    <t xml:space="preserve">W5 Jul 6</t>
  </si>
  <si>
    <t xml:space="preserve">W6 Jul 13</t>
  </si>
  <si>
    <t xml:space="preserve">W7 Jul 20</t>
  </si>
  <si>
    <t xml:space="preserve">W8 Jul 27</t>
  </si>
  <si>
    <t xml:space="preserve">W9 Aug 3</t>
  </si>
  <si>
    <t xml:space="preserve">W10 Aug 10</t>
  </si>
  <si>
    <t xml:space="preserve">W11 Aug 17</t>
  </si>
  <si>
    <t xml:space="preserve">W12 Aug 24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</si>
</sst>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4D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A4D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E3F0FA"/>
        <bgColor rgb="FFE6F4EA"/>
      </patternFill>
    </fill>
    <fill>
      <patternFill patternType="solid">
        <fgColor rgb="FFE6F4EA"/>
        <bgColor rgb="FFE3F0FA"/>
      </patternFill>
    </fill>
    <fill>
      <patternFill patternType="solid">
        <fgColor rgb="FFFCF0DA"/>
        <bgColor rgb="FFE6F4EA"/>
      </patternFill>
    </fill>
    <fill>
      <patternFill patternType="solid">
        <fgColor rgb="FFDCE6F1"/>
        <bgColor rgb="FFE3F0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6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6" fillId="6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F0DA"/>
      <rgbColor rgb="FFE3F0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4EA"/>
      <rgbColor rgb="FFDCE6F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B3" s="4"/>
    </row>
    <row r="4" customFormat="false" ht="15" hidden="false" customHeight="false" outlineLevel="0" collapsed="false">
      <c r="A4" s="5" t="s">
        <v>2</v>
      </c>
      <c r="B4" s="6"/>
    </row>
    <row r="5" customFormat="false" ht="15" hidden="false" customHeight="false" outlineLevel="0" collapsed="false">
      <c r="A5" s="3" t="s">
        <v>3</v>
      </c>
      <c r="B5" s="4" t="s">
        <v>4</v>
      </c>
    </row>
    <row r="6" customFormat="false" ht="15" hidden="false" customHeight="false" outlineLevel="0" collapsed="false">
      <c r="A6" s="3" t="s">
        <v>5</v>
      </c>
      <c r="B6" s="4" t="s">
        <v>6</v>
      </c>
    </row>
    <row r="7" customFormat="false" ht="15" hidden="false" customHeight="false" outlineLevel="0" collapsed="false">
      <c r="A7" s="3" t="s">
        <v>7</v>
      </c>
      <c r="B7" s="4" t="s">
        <v>8</v>
      </c>
    </row>
    <row r="8" customFormat="false" ht="15" hidden="false" customHeight="false" outlineLevel="0" collapsed="false">
      <c r="A8" s="3" t="s">
        <v>9</v>
      </c>
      <c r="B8" s="4" t="s">
        <v>10</v>
      </c>
    </row>
    <row r="9" customFormat="false" ht="15" hidden="false" customHeight="false" outlineLevel="0" collapsed="false">
      <c r="A9" s="3" t="s">
        <v>11</v>
      </c>
      <c r="B9" s="4" t="s">
        <v>12</v>
      </c>
    </row>
    <row r="10" customFormat="false" ht="15" hidden="false" customHeight="false" outlineLevel="0" collapsed="false">
      <c r="A10" s="3"/>
      <c r="B10" s="4"/>
    </row>
    <row r="11" customFormat="false" ht="15" hidden="false" customHeight="false" outlineLevel="0" collapsed="false">
      <c r="A11" s="5" t="s">
        <v>13</v>
      </c>
      <c r="B11" s="6"/>
    </row>
    <row r="12" customFormat="false" ht="15" hidden="false" customHeight="false" outlineLevel="0" collapsed="false">
      <c r="A12" s="3" t="s">
        <v>14</v>
      </c>
      <c r="B12" s="4" t="s">
        <v>15</v>
      </c>
    </row>
    <row r="13" customFormat="false" ht="15" hidden="false" customHeight="false" outlineLevel="0" collapsed="false">
      <c r="A13" s="3" t="s">
        <v>16</v>
      </c>
      <c r="B13" s="4" t="s">
        <v>17</v>
      </c>
    </row>
    <row r="14" customFormat="false" ht="15" hidden="false" customHeight="false" outlineLevel="0" collapsed="false">
      <c r="A14" s="3" t="s">
        <v>18</v>
      </c>
      <c r="B14" s="4" t="s">
        <v>19</v>
      </c>
    </row>
    <row r="15" customFormat="false" ht="15" hidden="false" customHeight="false" outlineLevel="0" collapsed="false">
      <c r="A15" s="3" t="s">
        <v>20</v>
      </c>
      <c r="B15" s="4" t="s">
        <v>21</v>
      </c>
    </row>
    <row r="16" customFormat="false" ht="15" hidden="false" customHeight="false" outlineLevel="0" collapsed="false">
      <c r="A16" s="3" t="s">
        <v>22</v>
      </c>
      <c r="B16" s="4" t="s">
        <v>23</v>
      </c>
    </row>
    <row r="17" customFormat="false" ht="15" hidden="false" customHeight="false" outlineLevel="0" collapsed="false">
      <c r="A17" s="3"/>
      <c r="B17" s="4"/>
    </row>
    <row r="18" customFormat="false" ht="15" hidden="false" customHeight="false" outlineLevel="0" collapsed="false">
      <c r="A18" s="5" t="s">
        <v>24</v>
      </c>
      <c r="B18" s="6"/>
    </row>
    <row r="19" customFormat="false" ht="15" hidden="false" customHeight="false" outlineLevel="0" collapsed="false">
      <c r="A19" s="3" t="s">
        <v>25</v>
      </c>
      <c r="B19" s="4" t="s">
        <v>26</v>
      </c>
    </row>
    <row r="20" customFormat="false" ht="15" hidden="false" customHeight="false" outlineLevel="0" collapsed="false">
      <c r="A20" s="3" t="s">
        <v>27</v>
      </c>
      <c r="B20" s="4" t="s">
        <v>28</v>
      </c>
    </row>
    <row r="21" customFormat="false" ht="15" hidden="false" customHeight="false" outlineLevel="0" collapsed="false">
      <c r="A21" s="3" t="s">
        <v>29</v>
      </c>
      <c r="B21" s="4" t="s">
        <v>30</v>
      </c>
    </row>
    <row r="22" customFormat="false" ht="15" hidden="false" customHeight="false" outlineLevel="0" collapsed="false">
      <c r="A22" s="3" t="s">
        <v>31</v>
      </c>
      <c r="B22" s="4" t="s">
        <v>32</v>
      </c>
    </row>
    <row r="23" customFormat="false" ht="15" hidden="false" customHeight="false" outlineLevel="0" collapsed="false">
      <c r="A23" s="3" t="s">
        <v>33</v>
      </c>
      <c r="B23" s="4" t="s">
        <v>34</v>
      </c>
    </row>
    <row r="24" customFormat="false" ht="15" hidden="false" customHeight="false" outlineLevel="0" collapsed="false">
      <c r="A24" s="3" t="s">
        <v>35</v>
      </c>
      <c r="B24" s="4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46"/>
    <col collapsed="false" customWidth="true" hidden="false" outlineLevel="0" max="6" min="6" style="0" width="14"/>
    <col collapsed="false" customWidth="true" hidden="false" outlineLevel="0" max="8" min="7" style="0" width="8"/>
    <col collapsed="false" customWidth="true" hidden="false" outlineLevel="0" max="9" min="9" style="0" width="22"/>
    <col collapsed="false" customWidth="true" hidden="false" outlineLevel="0" max="10" min="10" style="0" width="12"/>
  </cols>
  <sheetData>
    <row r="1" customFormat="false" ht="26.85" hidden="false" customHeight="false" outlineLevel="0" collapsed="false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46</v>
      </c>
    </row>
    <row r="2" customFormat="false" ht="23.85" hidden="false" customHeight="false" outlineLevel="0" collapsed="false">
      <c r="A2" s="8" t="s">
        <v>47</v>
      </c>
      <c r="B2" s="9" t="s">
        <v>48</v>
      </c>
      <c r="C2" s="8" t="s">
        <v>49</v>
      </c>
      <c r="D2" s="9" t="s">
        <v>50</v>
      </c>
      <c r="E2" s="10" t="s">
        <v>51</v>
      </c>
      <c r="F2" s="10" t="s">
        <v>52</v>
      </c>
      <c r="G2" s="11" t="n">
        <v>1</v>
      </c>
      <c r="H2" s="11" t="s">
        <v>53</v>
      </c>
      <c r="I2" s="10" t="s">
        <v>54</v>
      </c>
      <c r="J2" s="11"/>
    </row>
    <row r="3" customFormat="false" ht="23.85" hidden="false" customHeight="false" outlineLevel="0" collapsed="false">
      <c r="A3" s="8" t="s">
        <v>47</v>
      </c>
      <c r="B3" s="9" t="s">
        <v>48</v>
      </c>
      <c r="C3" s="8" t="s">
        <v>49</v>
      </c>
      <c r="D3" s="9" t="s">
        <v>50</v>
      </c>
      <c r="E3" s="10" t="s">
        <v>55</v>
      </c>
      <c r="F3" s="10" t="s">
        <v>56</v>
      </c>
      <c r="G3" s="11" t="n">
        <v>2</v>
      </c>
      <c r="H3" s="11" t="s">
        <v>53</v>
      </c>
      <c r="I3" s="10" t="s">
        <v>57</v>
      </c>
      <c r="J3" s="11"/>
    </row>
    <row r="4" customFormat="false" ht="23.85" hidden="false" customHeight="false" outlineLevel="0" collapsed="false">
      <c r="A4" s="8" t="s">
        <v>47</v>
      </c>
      <c r="B4" s="9" t="s">
        <v>48</v>
      </c>
      <c r="C4" s="8" t="s">
        <v>49</v>
      </c>
      <c r="D4" s="9" t="s">
        <v>58</v>
      </c>
      <c r="E4" s="10" t="s">
        <v>59</v>
      </c>
      <c r="F4" s="10" t="s">
        <v>60</v>
      </c>
      <c r="G4" s="11" t="n">
        <v>2</v>
      </c>
      <c r="H4" s="11" t="s">
        <v>53</v>
      </c>
      <c r="I4" s="10" t="s">
        <v>61</v>
      </c>
      <c r="J4" s="11"/>
    </row>
    <row r="5" customFormat="false" ht="23.85" hidden="false" customHeight="false" outlineLevel="0" collapsed="false">
      <c r="A5" s="8" t="s">
        <v>47</v>
      </c>
      <c r="B5" s="9" t="s">
        <v>48</v>
      </c>
      <c r="C5" s="8" t="s">
        <v>49</v>
      </c>
      <c r="D5" s="9" t="s">
        <v>25</v>
      </c>
      <c r="E5" s="10" t="s">
        <v>62</v>
      </c>
      <c r="F5" s="10" t="s">
        <v>63</v>
      </c>
      <c r="G5" s="11" t="n">
        <v>3</v>
      </c>
      <c r="H5" s="11" t="s">
        <v>53</v>
      </c>
      <c r="I5" s="10" t="s">
        <v>64</v>
      </c>
      <c r="J5" s="11"/>
    </row>
    <row r="6" customFormat="false" ht="15" hidden="false" customHeight="false" outlineLevel="0" collapsed="false">
      <c r="A6" s="8" t="s">
        <v>47</v>
      </c>
      <c r="B6" s="9" t="s">
        <v>48</v>
      </c>
      <c r="C6" s="8" t="s">
        <v>49</v>
      </c>
      <c r="D6" s="9" t="s">
        <v>65</v>
      </c>
      <c r="E6" s="10" t="s">
        <v>66</v>
      </c>
      <c r="F6" s="10" t="s">
        <v>67</v>
      </c>
      <c r="G6" s="11" t="n">
        <v>2</v>
      </c>
      <c r="H6" s="11" t="s">
        <v>53</v>
      </c>
      <c r="I6" s="10" t="s">
        <v>68</v>
      </c>
      <c r="J6" s="11"/>
    </row>
    <row r="7" customFormat="false" ht="15" hidden="false" customHeight="false" outlineLevel="0" collapsed="false">
      <c r="A7" s="8" t="s">
        <v>47</v>
      </c>
      <c r="B7" s="9" t="s">
        <v>48</v>
      </c>
      <c r="C7" s="8" t="s">
        <v>49</v>
      </c>
      <c r="D7" s="9" t="s">
        <v>27</v>
      </c>
      <c r="E7" s="10" t="s">
        <v>69</v>
      </c>
      <c r="F7" s="10" t="s">
        <v>70</v>
      </c>
      <c r="G7" s="11" t="n">
        <v>1</v>
      </c>
      <c r="H7" s="11" t="s">
        <v>53</v>
      </c>
      <c r="I7" s="10" t="s">
        <v>71</v>
      </c>
      <c r="J7" s="11"/>
    </row>
    <row r="8" customFormat="false" ht="23.85" hidden="false" customHeight="false" outlineLevel="0" collapsed="false">
      <c r="A8" s="8" t="s">
        <v>72</v>
      </c>
      <c r="B8" s="9" t="s">
        <v>73</v>
      </c>
      <c r="C8" s="8" t="s">
        <v>49</v>
      </c>
      <c r="D8" s="9" t="s">
        <v>25</v>
      </c>
      <c r="E8" s="10" t="s">
        <v>74</v>
      </c>
      <c r="F8" s="10" t="s">
        <v>75</v>
      </c>
      <c r="G8" s="11" t="n">
        <v>3</v>
      </c>
      <c r="H8" s="11" t="s">
        <v>53</v>
      </c>
      <c r="I8" s="10" t="s">
        <v>64</v>
      </c>
      <c r="J8" s="11"/>
    </row>
    <row r="9" customFormat="false" ht="23.85" hidden="false" customHeight="false" outlineLevel="0" collapsed="false">
      <c r="A9" s="8" t="s">
        <v>72</v>
      </c>
      <c r="B9" s="9" t="s">
        <v>73</v>
      </c>
      <c r="C9" s="8" t="s">
        <v>49</v>
      </c>
      <c r="D9" s="9" t="s">
        <v>25</v>
      </c>
      <c r="E9" s="10" t="s">
        <v>76</v>
      </c>
      <c r="F9" s="10" t="s">
        <v>77</v>
      </c>
      <c r="G9" s="11" t="n">
        <v>1.5</v>
      </c>
      <c r="H9" s="11" t="s">
        <v>53</v>
      </c>
      <c r="I9" s="10" t="s">
        <v>78</v>
      </c>
      <c r="J9" s="11"/>
    </row>
    <row r="10" customFormat="false" ht="23.85" hidden="false" customHeight="false" outlineLevel="0" collapsed="false">
      <c r="A10" s="8" t="s">
        <v>72</v>
      </c>
      <c r="B10" s="9" t="s">
        <v>73</v>
      </c>
      <c r="C10" s="8" t="s">
        <v>49</v>
      </c>
      <c r="D10" s="9" t="s">
        <v>29</v>
      </c>
      <c r="E10" s="10" t="s">
        <v>79</v>
      </c>
      <c r="F10" s="10" t="s">
        <v>56</v>
      </c>
      <c r="G10" s="11" t="n">
        <v>1</v>
      </c>
      <c r="H10" s="11" t="s">
        <v>53</v>
      </c>
      <c r="I10" s="10" t="s">
        <v>80</v>
      </c>
      <c r="J10" s="11"/>
    </row>
    <row r="11" customFormat="false" ht="15" hidden="false" customHeight="false" outlineLevel="0" collapsed="false">
      <c r="A11" s="8" t="s">
        <v>72</v>
      </c>
      <c r="B11" s="9" t="s">
        <v>73</v>
      </c>
      <c r="C11" s="8" t="s">
        <v>49</v>
      </c>
      <c r="D11" s="9" t="s">
        <v>58</v>
      </c>
      <c r="E11" s="10" t="s">
        <v>81</v>
      </c>
      <c r="F11" s="10" t="s">
        <v>60</v>
      </c>
      <c r="G11" s="11" t="n">
        <v>1</v>
      </c>
      <c r="H11" s="11" t="s">
        <v>53</v>
      </c>
      <c r="I11" s="10" t="s">
        <v>82</v>
      </c>
      <c r="J11" s="11"/>
    </row>
    <row r="12" customFormat="false" ht="15" hidden="false" customHeight="false" outlineLevel="0" collapsed="false">
      <c r="A12" s="8" t="s">
        <v>72</v>
      </c>
      <c r="B12" s="9" t="s">
        <v>73</v>
      </c>
      <c r="C12" s="8" t="s">
        <v>49</v>
      </c>
      <c r="D12" s="9" t="s">
        <v>27</v>
      </c>
      <c r="E12" s="10" t="s">
        <v>83</v>
      </c>
      <c r="F12" s="10" t="s">
        <v>70</v>
      </c>
      <c r="G12" s="11" t="n">
        <v>1</v>
      </c>
      <c r="H12" s="11" t="s">
        <v>53</v>
      </c>
      <c r="I12" s="10" t="s">
        <v>71</v>
      </c>
      <c r="J12" s="11"/>
    </row>
    <row r="13" customFormat="false" ht="23.85" hidden="false" customHeight="false" outlineLevel="0" collapsed="false">
      <c r="A13" s="8" t="s">
        <v>84</v>
      </c>
      <c r="B13" s="9" t="s">
        <v>85</v>
      </c>
      <c r="C13" s="8" t="s">
        <v>49</v>
      </c>
      <c r="D13" s="9" t="s">
        <v>25</v>
      </c>
      <c r="E13" s="10" t="s">
        <v>86</v>
      </c>
      <c r="F13" s="10" t="s">
        <v>87</v>
      </c>
      <c r="G13" s="11" t="n">
        <v>2.5</v>
      </c>
      <c r="H13" s="11" t="s">
        <v>53</v>
      </c>
      <c r="I13" s="10" t="s">
        <v>64</v>
      </c>
      <c r="J13" s="11"/>
    </row>
    <row r="14" customFormat="false" ht="23.85" hidden="false" customHeight="false" outlineLevel="0" collapsed="false">
      <c r="A14" s="8" t="s">
        <v>84</v>
      </c>
      <c r="B14" s="9" t="s">
        <v>85</v>
      </c>
      <c r="C14" s="8" t="s">
        <v>49</v>
      </c>
      <c r="D14" s="9" t="s">
        <v>25</v>
      </c>
      <c r="E14" s="10" t="s">
        <v>88</v>
      </c>
      <c r="F14" s="10" t="s">
        <v>87</v>
      </c>
      <c r="G14" s="11" t="n">
        <v>2.5</v>
      </c>
      <c r="H14" s="11" t="s">
        <v>53</v>
      </c>
      <c r="I14" s="10" t="s">
        <v>64</v>
      </c>
      <c r="J14" s="11"/>
    </row>
    <row r="15" customFormat="false" ht="15" hidden="false" customHeight="false" outlineLevel="0" collapsed="false">
      <c r="A15" s="8" t="s">
        <v>84</v>
      </c>
      <c r="B15" s="9" t="s">
        <v>85</v>
      </c>
      <c r="C15" s="8" t="s">
        <v>49</v>
      </c>
      <c r="D15" s="9" t="s">
        <v>29</v>
      </c>
      <c r="E15" s="10" t="s">
        <v>89</v>
      </c>
      <c r="F15" s="10" t="s">
        <v>90</v>
      </c>
      <c r="G15" s="11" t="n">
        <v>1</v>
      </c>
      <c r="H15" s="11" t="s">
        <v>53</v>
      </c>
      <c r="I15" s="10" t="s">
        <v>91</v>
      </c>
      <c r="J15" s="11"/>
    </row>
    <row r="16" customFormat="false" ht="15" hidden="false" customHeight="false" outlineLevel="0" collapsed="false">
      <c r="A16" s="8" t="s">
        <v>84</v>
      </c>
      <c r="B16" s="9" t="s">
        <v>85</v>
      </c>
      <c r="C16" s="8" t="s">
        <v>49</v>
      </c>
      <c r="D16" s="9" t="s">
        <v>31</v>
      </c>
      <c r="E16" s="10" t="s">
        <v>92</v>
      </c>
      <c r="F16" s="10" t="s">
        <v>60</v>
      </c>
      <c r="G16" s="11" t="n">
        <v>2</v>
      </c>
      <c r="H16" s="11" t="s">
        <v>53</v>
      </c>
      <c r="I16" s="10" t="s">
        <v>93</v>
      </c>
      <c r="J16" s="11"/>
    </row>
    <row r="17" customFormat="false" ht="15" hidden="false" customHeight="false" outlineLevel="0" collapsed="false">
      <c r="A17" s="8" t="s">
        <v>84</v>
      </c>
      <c r="B17" s="9" t="s">
        <v>85</v>
      </c>
      <c r="C17" s="8" t="s">
        <v>49</v>
      </c>
      <c r="D17" s="9" t="s">
        <v>27</v>
      </c>
      <c r="E17" s="10" t="s">
        <v>94</v>
      </c>
      <c r="F17" s="10" t="s">
        <v>70</v>
      </c>
      <c r="G17" s="11" t="n">
        <v>1</v>
      </c>
      <c r="H17" s="11" t="s">
        <v>53</v>
      </c>
      <c r="I17" s="10" t="s">
        <v>71</v>
      </c>
      <c r="J17" s="11"/>
    </row>
    <row r="18" customFormat="false" ht="15" hidden="false" customHeight="false" outlineLevel="0" collapsed="false">
      <c r="A18" s="8" t="s">
        <v>84</v>
      </c>
      <c r="B18" s="9" t="s">
        <v>85</v>
      </c>
      <c r="C18" s="8" t="s">
        <v>49</v>
      </c>
      <c r="D18" s="9" t="s">
        <v>95</v>
      </c>
      <c r="E18" s="10" t="s">
        <v>96</v>
      </c>
      <c r="F18" s="10" t="s">
        <v>56</v>
      </c>
      <c r="G18" s="11" t="n">
        <v>0.5</v>
      </c>
      <c r="H18" s="11" t="s">
        <v>53</v>
      </c>
      <c r="I18" s="10" t="s">
        <v>97</v>
      </c>
      <c r="J18" s="11"/>
    </row>
    <row r="19" customFormat="false" ht="23.85" hidden="false" customHeight="false" outlineLevel="0" collapsed="false">
      <c r="A19" s="12" t="s">
        <v>98</v>
      </c>
      <c r="B19" s="9" t="s">
        <v>99</v>
      </c>
      <c r="C19" s="12" t="s">
        <v>100</v>
      </c>
      <c r="D19" s="9" t="s">
        <v>25</v>
      </c>
      <c r="E19" s="10" t="s">
        <v>101</v>
      </c>
      <c r="F19" s="10" t="s">
        <v>102</v>
      </c>
      <c r="G19" s="11" t="n">
        <v>4</v>
      </c>
      <c r="H19" s="11" t="s">
        <v>53</v>
      </c>
      <c r="I19" s="10" t="s">
        <v>103</v>
      </c>
      <c r="J19" s="11"/>
    </row>
    <row r="20" customFormat="false" ht="15" hidden="false" customHeight="false" outlineLevel="0" collapsed="false">
      <c r="A20" s="12" t="s">
        <v>98</v>
      </c>
      <c r="B20" s="9" t="s">
        <v>99</v>
      </c>
      <c r="C20" s="12" t="s">
        <v>100</v>
      </c>
      <c r="D20" s="9" t="s">
        <v>27</v>
      </c>
      <c r="E20" s="10" t="s">
        <v>94</v>
      </c>
      <c r="F20" s="10" t="s">
        <v>70</v>
      </c>
      <c r="G20" s="11" t="n">
        <v>1</v>
      </c>
      <c r="H20" s="11" t="s">
        <v>53</v>
      </c>
      <c r="I20" s="10" t="s">
        <v>71</v>
      </c>
      <c r="J20" s="11"/>
    </row>
    <row r="21" customFormat="false" ht="15" hidden="false" customHeight="false" outlineLevel="0" collapsed="false">
      <c r="A21" s="12" t="s">
        <v>98</v>
      </c>
      <c r="B21" s="9" t="s">
        <v>99</v>
      </c>
      <c r="C21" s="12" t="s">
        <v>100</v>
      </c>
      <c r="D21" s="9" t="s">
        <v>29</v>
      </c>
      <c r="E21" s="10" t="s">
        <v>104</v>
      </c>
      <c r="F21" s="10" t="s">
        <v>105</v>
      </c>
      <c r="G21" s="11" t="n">
        <v>1.5</v>
      </c>
      <c r="H21" s="11" t="s">
        <v>53</v>
      </c>
      <c r="I21" s="10" t="s">
        <v>106</v>
      </c>
      <c r="J21" s="11"/>
    </row>
    <row r="22" customFormat="false" ht="15" hidden="false" customHeight="false" outlineLevel="0" collapsed="false">
      <c r="A22" s="12" t="s">
        <v>98</v>
      </c>
      <c r="B22" s="9" t="s">
        <v>99</v>
      </c>
      <c r="C22" s="12" t="s">
        <v>100</v>
      </c>
      <c r="D22" s="9" t="s">
        <v>31</v>
      </c>
      <c r="E22" s="10" t="s">
        <v>107</v>
      </c>
      <c r="F22" s="10" t="s">
        <v>60</v>
      </c>
      <c r="G22" s="11" t="n">
        <v>1.5</v>
      </c>
      <c r="H22" s="11" t="s">
        <v>53</v>
      </c>
      <c r="I22" s="10" t="s">
        <v>108</v>
      </c>
      <c r="J22" s="11"/>
    </row>
    <row r="23" customFormat="false" ht="15" hidden="false" customHeight="false" outlineLevel="0" collapsed="false">
      <c r="A23" s="12" t="s">
        <v>98</v>
      </c>
      <c r="B23" s="9" t="s">
        <v>99</v>
      </c>
      <c r="C23" s="12" t="s">
        <v>100</v>
      </c>
      <c r="D23" s="9" t="s">
        <v>109</v>
      </c>
      <c r="E23" s="10" t="s">
        <v>110</v>
      </c>
      <c r="F23" s="10" t="s">
        <v>111</v>
      </c>
      <c r="G23" s="11" t="n">
        <v>0.5</v>
      </c>
      <c r="H23" s="11" t="s">
        <v>53</v>
      </c>
      <c r="I23" s="10" t="s">
        <v>112</v>
      </c>
      <c r="J23" s="11"/>
    </row>
    <row r="24" customFormat="false" ht="15" hidden="false" customHeight="false" outlineLevel="0" collapsed="false">
      <c r="A24" s="12" t="s">
        <v>113</v>
      </c>
      <c r="B24" s="9" t="s">
        <v>114</v>
      </c>
      <c r="C24" s="12" t="s">
        <v>100</v>
      </c>
      <c r="D24" s="9" t="s">
        <v>25</v>
      </c>
      <c r="E24" s="10" t="s">
        <v>115</v>
      </c>
      <c r="F24" s="10" t="s">
        <v>87</v>
      </c>
      <c r="G24" s="11" t="n">
        <v>4</v>
      </c>
      <c r="H24" s="11" t="s">
        <v>53</v>
      </c>
      <c r="I24" s="10" t="s">
        <v>103</v>
      </c>
      <c r="J24" s="11"/>
    </row>
    <row r="25" customFormat="false" ht="15" hidden="false" customHeight="false" outlineLevel="0" collapsed="false">
      <c r="A25" s="12" t="s">
        <v>113</v>
      </c>
      <c r="B25" s="9" t="s">
        <v>114</v>
      </c>
      <c r="C25" s="12" t="s">
        <v>100</v>
      </c>
      <c r="D25" s="9" t="s">
        <v>27</v>
      </c>
      <c r="E25" s="10" t="s">
        <v>94</v>
      </c>
      <c r="F25" s="10" t="s">
        <v>70</v>
      </c>
      <c r="G25" s="11" t="n">
        <v>1</v>
      </c>
      <c r="H25" s="11" t="s">
        <v>53</v>
      </c>
      <c r="I25" s="10" t="s">
        <v>71</v>
      </c>
      <c r="J25" s="11"/>
    </row>
    <row r="26" customFormat="false" ht="15" hidden="false" customHeight="false" outlineLevel="0" collapsed="false">
      <c r="A26" s="12" t="s">
        <v>113</v>
      </c>
      <c r="B26" s="9" t="s">
        <v>114</v>
      </c>
      <c r="C26" s="12" t="s">
        <v>100</v>
      </c>
      <c r="D26" s="9" t="s">
        <v>29</v>
      </c>
      <c r="E26" s="10" t="s">
        <v>116</v>
      </c>
      <c r="F26" s="10" t="s">
        <v>90</v>
      </c>
      <c r="G26" s="11" t="n">
        <v>1</v>
      </c>
      <c r="H26" s="11" t="s">
        <v>53</v>
      </c>
      <c r="I26" s="10" t="s">
        <v>71</v>
      </c>
      <c r="J26" s="11"/>
    </row>
    <row r="27" customFormat="false" ht="15" hidden="false" customHeight="false" outlineLevel="0" collapsed="false">
      <c r="A27" s="12" t="s">
        <v>113</v>
      </c>
      <c r="B27" s="9" t="s">
        <v>114</v>
      </c>
      <c r="C27" s="12" t="s">
        <v>100</v>
      </c>
      <c r="D27" s="9" t="s">
        <v>31</v>
      </c>
      <c r="E27" s="10" t="s">
        <v>117</v>
      </c>
      <c r="F27" s="10" t="s">
        <v>60</v>
      </c>
      <c r="G27" s="11" t="n">
        <v>1.5</v>
      </c>
      <c r="H27" s="11" t="s">
        <v>53</v>
      </c>
      <c r="I27" s="10" t="s">
        <v>108</v>
      </c>
      <c r="J27" s="11"/>
    </row>
    <row r="28" customFormat="false" ht="15" hidden="false" customHeight="false" outlineLevel="0" collapsed="false">
      <c r="A28" s="12" t="s">
        <v>113</v>
      </c>
      <c r="B28" s="9" t="s">
        <v>114</v>
      </c>
      <c r="C28" s="12" t="s">
        <v>100</v>
      </c>
      <c r="D28" s="9" t="s">
        <v>118</v>
      </c>
      <c r="E28" s="10" t="s">
        <v>119</v>
      </c>
      <c r="F28" s="10" t="s">
        <v>67</v>
      </c>
      <c r="G28" s="11" t="n">
        <v>0.5</v>
      </c>
      <c r="H28" s="11" t="s">
        <v>53</v>
      </c>
      <c r="I28" s="10" t="s">
        <v>120</v>
      </c>
      <c r="J28" s="11"/>
    </row>
    <row r="29" customFormat="false" ht="15" hidden="false" customHeight="false" outlineLevel="0" collapsed="false">
      <c r="A29" s="12" t="s">
        <v>121</v>
      </c>
      <c r="B29" s="9" t="s">
        <v>122</v>
      </c>
      <c r="C29" s="12" t="s">
        <v>100</v>
      </c>
      <c r="D29" s="9" t="s">
        <v>25</v>
      </c>
      <c r="E29" s="10" t="s">
        <v>123</v>
      </c>
      <c r="F29" s="10" t="s">
        <v>102</v>
      </c>
      <c r="G29" s="11" t="n">
        <v>4</v>
      </c>
      <c r="H29" s="11" t="s">
        <v>53</v>
      </c>
      <c r="I29" s="10" t="s">
        <v>103</v>
      </c>
      <c r="J29" s="11"/>
    </row>
    <row r="30" customFormat="false" ht="15" hidden="false" customHeight="false" outlineLevel="0" collapsed="false">
      <c r="A30" s="12" t="s">
        <v>121</v>
      </c>
      <c r="B30" s="9" t="s">
        <v>122</v>
      </c>
      <c r="C30" s="12" t="s">
        <v>100</v>
      </c>
      <c r="D30" s="9" t="s">
        <v>124</v>
      </c>
      <c r="E30" s="10" t="s">
        <v>125</v>
      </c>
      <c r="F30" s="10" t="s">
        <v>70</v>
      </c>
      <c r="G30" s="11" t="n">
        <v>1.5</v>
      </c>
      <c r="H30" s="11" t="s">
        <v>53</v>
      </c>
      <c r="I30" s="10" t="s">
        <v>126</v>
      </c>
      <c r="J30" s="11"/>
    </row>
    <row r="31" customFormat="false" ht="15" hidden="false" customHeight="false" outlineLevel="0" collapsed="false">
      <c r="A31" s="12" t="s">
        <v>121</v>
      </c>
      <c r="B31" s="9" t="s">
        <v>122</v>
      </c>
      <c r="C31" s="12" t="s">
        <v>100</v>
      </c>
      <c r="D31" s="9" t="s">
        <v>27</v>
      </c>
      <c r="E31" s="10" t="s">
        <v>94</v>
      </c>
      <c r="F31" s="10" t="s">
        <v>70</v>
      </c>
      <c r="G31" s="11" t="n">
        <v>1</v>
      </c>
      <c r="H31" s="11" t="s">
        <v>53</v>
      </c>
      <c r="I31" s="10" t="s">
        <v>71</v>
      </c>
      <c r="J31" s="11"/>
    </row>
    <row r="32" customFormat="false" ht="15" hidden="false" customHeight="false" outlineLevel="0" collapsed="false">
      <c r="A32" s="12" t="s">
        <v>121</v>
      </c>
      <c r="B32" s="9" t="s">
        <v>122</v>
      </c>
      <c r="C32" s="12" t="s">
        <v>100</v>
      </c>
      <c r="D32" s="9" t="s">
        <v>29</v>
      </c>
      <c r="E32" s="10" t="s">
        <v>116</v>
      </c>
      <c r="F32" s="10" t="s">
        <v>90</v>
      </c>
      <c r="G32" s="11" t="n">
        <v>1</v>
      </c>
      <c r="H32" s="11" t="s">
        <v>53</v>
      </c>
      <c r="I32" s="10" t="s">
        <v>71</v>
      </c>
      <c r="J32" s="11"/>
    </row>
    <row r="33" customFormat="false" ht="15" hidden="false" customHeight="false" outlineLevel="0" collapsed="false">
      <c r="A33" s="12" t="s">
        <v>121</v>
      </c>
      <c r="B33" s="9" t="s">
        <v>122</v>
      </c>
      <c r="C33" s="12" t="s">
        <v>100</v>
      </c>
      <c r="D33" s="9" t="s">
        <v>31</v>
      </c>
      <c r="E33" s="10" t="s">
        <v>127</v>
      </c>
      <c r="F33" s="10" t="s">
        <v>60</v>
      </c>
      <c r="G33" s="11" t="n">
        <v>1.5</v>
      </c>
      <c r="H33" s="11" t="s">
        <v>53</v>
      </c>
      <c r="I33" s="10" t="s">
        <v>128</v>
      </c>
      <c r="J33" s="11"/>
    </row>
    <row r="34" customFormat="false" ht="15" hidden="false" customHeight="false" outlineLevel="0" collapsed="false">
      <c r="A34" s="12" t="s">
        <v>129</v>
      </c>
      <c r="B34" s="9" t="s">
        <v>130</v>
      </c>
      <c r="C34" s="12" t="s">
        <v>100</v>
      </c>
      <c r="D34" s="9" t="s">
        <v>25</v>
      </c>
      <c r="E34" s="10" t="s">
        <v>131</v>
      </c>
      <c r="F34" s="10" t="s">
        <v>87</v>
      </c>
      <c r="G34" s="11" t="n">
        <v>4</v>
      </c>
      <c r="H34" s="11" t="s">
        <v>53</v>
      </c>
      <c r="I34" s="10" t="s">
        <v>103</v>
      </c>
      <c r="J34" s="11"/>
    </row>
    <row r="35" customFormat="false" ht="15" hidden="false" customHeight="false" outlineLevel="0" collapsed="false">
      <c r="A35" s="12" t="s">
        <v>129</v>
      </c>
      <c r="B35" s="9" t="s">
        <v>130</v>
      </c>
      <c r="C35" s="12" t="s">
        <v>100</v>
      </c>
      <c r="D35" s="9" t="s">
        <v>132</v>
      </c>
      <c r="E35" s="10" t="s">
        <v>133</v>
      </c>
      <c r="F35" s="10" t="s">
        <v>87</v>
      </c>
      <c r="G35" s="11" t="n">
        <v>1.5</v>
      </c>
      <c r="H35" s="11" t="s">
        <v>53</v>
      </c>
      <c r="I35" s="10" t="s">
        <v>134</v>
      </c>
      <c r="J35" s="11"/>
    </row>
    <row r="36" customFormat="false" ht="23.85" hidden="false" customHeight="false" outlineLevel="0" collapsed="false">
      <c r="A36" s="12" t="s">
        <v>129</v>
      </c>
      <c r="B36" s="9" t="s">
        <v>130</v>
      </c>
      <c r="C36" s="12" t="s">
        <v>100</v>
      </c>
      <c r="D36" s="9" t="s">
        <v>124</v>
      </c>
      <c r="E36" s="10" t="s">
        <v>135</v>
      </c>
      <c r="F36" s="10" t="s">
        <v>70</v>
      </c>
      <c r="G36" s="11" t="n">
        <v>1.5</v>
      </c>
      <c r="H36" s="11" t="s">
        <v>53</v>
      </c>
      <c r="I36" s="10" t="s">
        <v>136</v>
      </c>
      <c r="J36" s="11"/>
    </row>
    <row r="37" customFormat="false" ht="15" hidden="false" customHeight="false" outlineLevel="0" collapsed="false">
      <c r="A37" s="12" t="s">
        <v>129</v>
      </c>
      <c r="B37" s="9" t="s">
        <v>130</v>
      </c>
      <c r="C37" s="12" t="s">
        <v>100</v>
      </c>
      <c r="D37" s="9" t="s">
        <v>27</v>
      </c>
      <c r="E37" s="10" t="s">
        <v>137</v>
      </c>
      <c r="F37" s="10" t="s">
        <v>70</v>
      </c>
      <c r="G37" s="11" t="n">
        <v>1</v>
      </c>
      <c r="H37" s="11" t="s">
        <v>53</v>
      </c>
      <c r="I37" s="10" t="s">
        <v>71</v>
      </c>
      <c r="J37" s="11"/>
    </row>
    <row r="38" customFormat="false" ht="15" hidden="false" customHeight="false" outlineLevel="0" collapsed="false">
      <c r="A38" s="12" t="s">
        <v>129</v>
      </c>
      <c r="B38" s="9" t="s">
        <v>130</v>
      </c>
      <c r="C38" s="12" t="s">
        <v>100</v>
      </c>
      <c r="D38" s="9" t="s">
        <v>31</v>
      </c>
      <c r="E38" s="10" t="s">
        <v>127</v>
      </c>
      <c r="F38" s="10" t="s">
        <v>60</v>
      </c>
      <c r="G38" s="11" t="n">
        <v>1.5</v>
      </c>
      <c r="H38" s="11" t="s">
        <v>53</v>
      </c>
      <c r="I38" s="10" t="s">
        <v>128</v>
      </c>
      <c r="J38" s="11"/>
    </row>
    <row r="39" customFormat="false" ht="15" hidden="false" customHeight="false" outlineLevel="0" collapsed="false">
      <c r="A39" s="12" t="s">
        <v>138</v>
      </c>
      <c r="B39" s="9" t="s">
        <v>139</v>
      </c>
      <c r="C39" s="12" t="s">
        <v>100</v>
      </c>
      <c r="D39" s="9" t="s">
        <v>25</v>
      </c>
      <c r="E39" s="10" t="s">
        <v>131</v>
      </c>
      <c r="F39" s="10" t="s">
        <v>87</v>
      </c>
      <c r="G39" s="11" t="n">
        <v>4</v>
      </c>
      <c r="H39" s="11" t="s">
        <v>53</v>
      </c>
      <c r="I39" s="10" t="s">
        <v>103</v>
      </c>
      <c r="J39" s="11"/>
    </row>
    <row r="40" customFormat="false" ht="15" hidden="false" customHeight="false" outlineLevel="0" collapsed="false">
      <c r="A40" s="12" t="s">
        <v>138</v>
      </c>
      <c r="B40" s="9" t="s">
        <v>139</v>
      </c>
      <c r="C40" s="12" t="s">
        <v>100</v>
      </c>
      <c r="D40" s="9" t="s">
        <v>124</v>
      </c>
      <c r="E40" s="10" t="s">
        <v>140</v>
      </c>
      <c r="F40" s="10" t="s">
        <v>141</v>
      </c>
      <c r="G40" s="11" t="n">
        <v>1.5</v>
      </c>
      <c r="H40" s="11" t="s">
        <v>53</v>
      </c>
      <c r="I40" s="10" t="s">
        <v>142</v>
      </c>
      <c r="J40" s="11"/>
    </row>
    <row r="41" customFormat="false" ht="23.85" hidden="false" customHeight="false" outlineLevel="0" collapsed="false">
      <c r="A41" s="12" t="s">
        <v>138</v>
      </c>
      <c r="B41" s="9" t="s">
        <v>139</v>
      </c>
      <c r="C41" s="12" t="s">
        <v>100</v>
      </c>
      <c r="D41" s="9" t="s">
        <v>29</v>
      </c>
      <c r="E41" s="10" t="s">
        <v>143</v>
      </c>
      <c r="F41" s="10" t="s">
        <v>105</v>
      </c>
      <c r="G41" s="11" t="n">
        <v>1.5</v>
      </c>
      <c r="H41" s="11" t="s">
        <v>53</v>
      </c>
      <c r="I41" s="10" t="s">
        <v>106</v>
      </c>
      <c r="J41" s="11"/>
    </row>
    <row r="42" customFormat="false" ht="15" hidden="false" customHeight="false" outlineLevel="0" collapsed="false">
      <c r="A42" s="12" t="s">
        <v>138</v>
      </c>
      <c r="B42" s="9" t="s">
        <v>139</v>
      </c>
      <c r="C42" s="12" t="s">
        <v>100</v>
      </c>
      <c r="D42" s="9" t="s">
        <v>31</v>
      </c>
      <c r="E42" s="10" t="s">
        <v>127</v>
      </c>
      <c r="F42" s="10" t="s">
        <v>60</v>
      </c>
      <c r="G42" s="11" t="n">
        <v>1.5</v>
      </c>
      <c r="H42" s="11" t="s">
        <v>53</v>
      </c>
      <c r="I42" s="10" t="s">
        <v>128</v>
      </c>
      <c r="J42" s="11"/>
    </row>
    <row r="43" customFormat="false" ht="15" hidden="false" customHeight="false" outlineLevel="0" collapsed="false">
      <c r="A43" s="12" t="s">
        <v>138</v>
      </c>
      <c r="B43" s="9" t="s">
        <v>139</v>
      </c>
      <c r="C43" s="12" t="s">
        <v>100</v>
      </c>
      <c r="D43" s="9" t="s">
        <v>95</v>
      </c>
      <c r="E43" s="10" t="s">
        <v>144</v>
      </c>
      <c r="F43" s="10" t="s">
        <v>56</v>
      </c>
      <c r="G43" s="11" t="n">
        <v>0.5</v>
      </c>
      <c r="H43" s="11" t="s">
        <v>53</v>
      </c>
      <c r="I43" s="10" t="s">
        <v>97</v>
      </c>
      <c r="J43" s="11"/>
    </row>
    <row r="44" customFormat="false" ht="23.85" hidden="false" customHeight="false" outlineLevel="0" collapsed="false">
      <c r="A44" s="13" t="s">
        <v>145</v>
      </c>
      <c r="B44" s="9" t="s">
        <v>146</v>
      </c>
      <c r="C44" s="13" t="s">
        <v>147</v>
      </c>
      <c r="D44" s="9" t="s">
        <v>33</v>
      </c>
      <c r="E44" s="10" t="s">
        <v>148</v>
      </c>
      <c r="F44" s="10" t="s">
        <v>70</v>
      </c>
      <c r="G44" s="11" t="n">
        <v>4</v>
      </c>
      <c r="H44" s="11" t="s">
        <v>53</v>
      </c>
      <c r="I44" s="10" t="s">
        <v>149</v>
      </c>
      <c r="J44" s="11"/>
    </row>
    <row r="45" customFormat="false" ht="23.85" hidden="false" customHeight="false" outlineLevel="0" collapsed="false">
      <c r="A45" s="13" t="s">
        <v>145</v>
      </c>
      <c r="B45" s="9" t="s">
        <v>146</v>
      </c>
      <c r="C45" s="13" t="s">
        <v>147</v>
      </c>
      <c r="D45" s="9" t="s">
        <v>33</v>
      </c>
      <c r="E45" s="10" t="s">
        <v>150</v>
      </c>
      <c r="F45" s="10" t="s">
        <v>56</v>
      </c>
      <c r="G45" s="11" t="n">
        <v>1</v>
      </c>
      <c r="H45" s="11" t="s">
        <v>53</v>
      </c>
      <c r="I45" s="10" t="s">
        <v>151</v>
      </c>
      <c r="J45" s="11"/>
    </row>
    <row r="46" customFormat="false" ht="23.85" hidden="false" customHeight="false" outlineLevel="0" collapsed="false">
      <c r="A46" s="13" t="s">
        <v>145</v>
      </c>
      <c r="B46" s="9" t="s">
        <v>146</v>
      </c>
      <c r="C46" s="13" t="s">
        <v>147</v>
      </c>
      <c r="D46" s="9" t="s">
        <v>33</v>
      </c>
      <c r="E46" s="10" t="s">
        <v>152</v>
      </c>
      <c r="F46" s="10" t="s">
        <v>105</v>
      </c>
      <c r="G46" s="11" t="n">
        <v>1</v>
      </c>
      <c r="H46" s="11" t="s">
        <v>53</v>
      </c>
      <c r="I46" s="10" t="s">
        <v>153</v>
      </c>
      <c r="J46" s="11"/>
    </row>
    <row r="47" customFormat="false" ht="15" hidden="false" customHeight="false" outlineLevel="0" collapsed="false">
      <c r="A47" s="13" t="s">
        <v>145</v>
      </c>
      <c r="B47" s="9" t="s">
        <v>146</v>
      </c>
      <c r="C47" s="13" t="s">
        <v>147</v>
      </c>
      <c r="D47" s="9" t="s">
        <v>65</v>
      </c>
      <c r="E47" s="10" t="s">
        <v>154</v>
      </c>
      <c r="F47" s="10" t="s">
        <v>67</v>
      </c>
      <c r="G47" s="11" t="n">
        <v>0.5</v>
      </c>
      <c r="H47" s="11" t="s">
        <v>53</v>
      </c>
      <c r="I47" s="10" t="s">
        <v>155</v>
      </c>
      <c r="J47" s="11"/>
    </row>
    <row r="48" customFormat="false" ht="15" hidden="false" customHeight="false" outlineLevel="0" collapsed="false">
      <c r="A48" s="13" t="s">
        <v>145</v>
      </c>
      <c r="B48" s="9" t="s">
        <v>146</v>
      </c>
      <c r="C48" s="13" t="s">
        <v>147</v>
      </c>
      <c r="D48" s="9" t="s">
        <v>27</v>
      </c>
      <c r="E48" s="10" t="s">
        <v>156</v>
      </c>
      <c r="F48" s="10" t="s">
        <v>70</v>
      </c>
      <c r="G48" s="11" t="n">
        <v>1</v>
      </c>
      <c r="H48" s="11" t="s">
        <v>53</v>
      </c>
      <c r="I48" s="10" t="s">
        <v>157</v>
      </c>
      <c r="J48" s="11"/>
    </row>
    <row r="49" customFormat="false" ht="23.85" hidden="false" customHeight="false" outlineLevel="0" collapsed="false">
      <c r="A49" s="13" t="s">
        <v>158</v>
      </c>
      <c r="B49" s="9" t="s">
        <v>159</v>
      </c>
      <c r="C49" s="13" t="s">
        <v>147</v>
      </c>
      <c r="D49" s="9" t="s">
        <v>132</v>
      </c>
      <c r="E49" s="10" t="s">
        <v>160</v>
      </c>
      <c r="F49" s="10" t="s">
        <v>87</v>
      </c>
      <c r="G49" s="11" t="n">
        <v>2.5</v>
      </c>
      <c r="H49" s="11" t="s">
        <v>53</v>
      </c>
      <c r="I49" s="10" t="s">
        <v>161</v>
      </c>
      <c r="J49" s="11"/>
    </row>
    <row r="50" customFormat="false" ht="15" hidden="false" customHeight="false" outlineLevel="0" collapsed="false">
      <c r="A50" s="13" t="s">
        <v>158</v>
      </c>
      <c r="B50" s="9" t="s">
        <v>159</v>
      </c>
      <c r="C50" s="13" t="s">
        <v>147</v>
      </c>
      <c r="D50" s="9" t="s">
        <v>25</v>
      </c>
      <c r="E50" s="10" t="s">
        <v>162</v>
      </c>
      <c r="F50" s="10" t="s">
        <v>87</v>
      </c>
      <c r="G50" s="11" t="n">
        <v>3</v>
      </c>
      <c r="H50" s="11" t="s">
        <v>53</v>
      </c>
      <c r="I50" s="10" t="s">
        <v>163</v>
      </c>
      <c r="J50" s="11"/>
    </row>
    <row r="51" customFormat="false" ht="23.85" hidden="false" customHeight="false" outlineLevel="0" collapsed="false">
      <c r="A51" s="13" t="s">
        <v>158</v>
      </c>
      <c r="B51" s="9" t="s">
        <v>159</v>
      </c>
      <c r="C51" s="13" t="s">
        <v>147</v>
      </c>
      <c r="D51" s="9" t="s">
        <v>164</v>
      </c>
      <c r="E51" s="10" t="s">
        <v>165</v>
      </c>
      <c r="F51" s="10" t="s">
        <v>56</v>
      </c>
      <c r="G51" s="11" t="n">
        <v>1</v>
      </c>
      <c r="H51" s="11" t="s">
        <v>53</v>
      </c>
      <c r="I51" s="10" t="s">
        <v>166</v>
      </c>
      <c r="J51" s="11"/>
    </row>
    <row r="52" customFormat="false" ht="15" hidden="false" customHeight="false" outlineLevel="0" collapsed="false">
      <c r="A52" s="13" t="s">
        <v>158</v>
      </c>
      <c r="B52" s="9" t="s">
        <v>159</v>
      </c>
      <c r="C52" s="13" t="s">
        <v>147</v>
      </c>
      <c r="D52" s="9" t="s">
        <v>31</v>
      </c>
      <c r="E52" s="10" t="s">
        <v>127</v>
      </c>
      <c r="F52" s="10" t="s">
        <v>60</v>
      </c>
      <c r="G52" s="11" t="n">
        <v>1.5</v>
      </c>
      <c r="H52" s="11" t="s">
        <v>53</v>
      </c>
      <c r="I52" s="10" t="s">
        <v>128</v>
      </c>
      <c r="J52" s="11"/>
    </row>
    <row r="53" customFormat="false" ht="15" hidden="false" customHeight="false" outlineLevel="0" collapsed="false">
      <c r="A53" s="13" t="s">
        <v>158</v>
      </c>
      <c r="B53" s="9" t="s">
        <v>159</v>
      </c>
      <c r="C53" s="13" t="s">
        <v>147</v>
      </c>
      <c r="D53" s="9" t="s">
        <v>27</v>
      </c>
      <c r="E53" s="10" t="s">
        <v>167</v>
      </c>
      <c r="F53" s="10" t="s">
        <v>70</v>
      </c>
      <c r="G53" s="11" t="n">
        <v>1</v>
      </c>
      <c r="H53" s="11" t="s">
        <v>53</v>
      </c>
      <c r="I53" s="10" t="s">
        <v>71</v>
      </c>
      <c r="J53" s="11"/>
    </row>
    <row r="54" customFormat="false" ht="15" hidden="false" customHeight="false" outlineLevel="0" collapsed="false">
      <c r="A54" s="13" t="s">
        <v>168</v>
      </c>
      <c r="B54" s="9" t="s">
        <v>169</v>
      </c>
      <c r="C54" s="13" t="s">
        <v>147</v>
      </c>
      <c r="D54" s="9" t="s">
        <v>25</v>
      </c>
      <c r="E54" s="10" t="s">
        <v>170</v>
      </c>
      <c r="F54" s="10" t="s">
        <v>171</v>
      </c>
      <c r="G54" s="11" t="n">
        <v>4</v>
      </c>
      <c r="H54" s="11" t="s">
        <v>53</v>
      </c>
      <c r="I54" s="10" t="s">
        <v>172</v>
      </c>
      <c r="J54" s="11"/>
    </row>
    <row r="55" customFormat="false" ht="15" hidden="false" customHeight="false" outlineLevel="0" collapsed="false">
      <c r="A55" s="13" t="s">
        <v>168</v>
      </c>
      <c r="B55" s="9" t="s">
        <v>169</v>
      </c>
      <c r="C55" s="13" t="s">
        <v>147</v>
      </c>
      <c r="D55" s="9" t="s">
        <v>132</v>
      </c>
      <c r="E55" s="10" t="s">
        <v>173</v>
      </c>
      <c r="F55" s="10" t="s">
        <v>87</v>
      </c>
      <c r="G55" s="11" t="n">
        <v>1.5</v>
      </c>
      <c r="H55" s="11" t="s">
        <v>53</v>
      </c>
      <c r="I55" s="10" t="s">
        <v>174</v>
      </c>
      <c r="J55" s="11"/>
    </row>
    <row r="56" customFormat="false" ht="15" hidden="false" customHeight="false" outlineLevel="0" collapsed="false">
      <c r="A56" s="13" t="s">
        <v>168</v>
      </c>
      <c r="B56" s="9" t="s">
        <v>169</v>
      </c>
      <c r="C56" s="13" t="s">
        <v>147</v>
      </c>
      <c r="D56" s="9" t="s">
        <v>29</v>
      </c>
      <c r="E56" s="10" t="s">
        <v>116</v>
      </c>
      <c r="F56" s="10" t="s">
        <v>90</v>
      </c>
      <c r="G56" s="11" t="n">
        <v>1</v>
      </c>
      <c r="H56" s="11" t="s">
        <v>53</v>
      </c>
      <c r="I56" s="10" t="s">
        <v>71</v>
      </c>
      <c r="J56" s="11"/>
    </row>
    <row r="57" customFormat="false" ht="15" hidden="false" customHeight="false" outlineLevel="0" collapsed="false">
      <c r="A57" s="13" t="s">
        <v>168</v>
      </c>
      <c r="B57" s="9" t="s">
        <v>169</v>
      </c>
      <c r="C57" s="13" t="s">
        <v>147</v>
      </c>
      <c r="D57" s="9" t="s">
        <v>31</v>
      </c>
      <c r="E57" s="10" t="s">
        <v>127</v>
      </c>
      <c r="F57" s="10" t="s">
        <v>60</v>
      </c>
      <c r="G57" s="11" t="n">
        <v>1.5</v>
      </c>
      <c r="H57" s="11" t="s">
        <v>53</v>
      </c>
      <c r="I57" s="10" t="s">
        <v>128</v>
      </c>
      <c r="J57" s="11"/>
    </row>
    <row r="58" customFormat="false" ht="15" hidden="false" customHeight="false" outlineLevel="0" collapsed="false">
      <c r="A58" s="13" t="s">
        <v>168</v>
      </c>
      <c r="B58" s="9" t="s">
        <v>169</v>
      </c>
      <c r="C58" s="13" t="s">
        <v>147</v>
      </c>
      <c r="D58" s="9" t="s">
        <v>175</v>
      </c>
      <c r="E58" s="10" t="s">
        <v>176</v>
      </c>
      <c r="F58" s="10" t="s">
        <v>56</v>
      </c>
      <c r="G58" s="11" t="n">
        <v>0.5</v>
      </c>
      <c r="H58" s="11" t="s">
        <v>177</v>
      </c>
      <c r="I58" s="10" t="s">
        <v>178</v>
      </c>
      <c r="J58" s="11"/>
    </row>
    <row r="59" customFormat="false" ht="15" hidden="false" customHeight="false" outlineLevel="0" collapsed="false">
      <c r="A59" s="13" t="s">
        <v>179</v>
      </c>
      <c r="B59" s="9" t="s">
        <v>180</v>
      </c>
      <c r="C59" s="13" t="s">
        <v>147</v>
      </c>
      <c r="D59" s="9" t="s">
        <v>25</v>
      </c>
      <c r="E59" s="10" t="s">
        <v>131</v>
      </c>
      <c r="F59" s="10" t="s">
        <v>87</v>
      </c>
      <c r="G59" s="11" t="n">
        <v>4</v>
      </c>
      <c r="H59" s="11" t="s">
        <v>53</v>
      </c>
      <c r="I59" s="10" t="s">
        <v>172</v>
      </c>
      <c r="J59" s="11"/>
    </row>
    <row r="60" customFormat="false" ht="15" hidden="false" customHeight="false" outlineLevel="0" collapsed="false">
      <c r="A60" s="13" t="s">
        <v>179</v>
      </c>
      <c r="B60" s="9" t="s">
        <v>180</v>
      </c>
      <c r="C60" s="13" t="s">
        <v>147</v>
      </c>
      <c r="D60" s="9" t="s">
        <v>27</v>
      </c>
      <c r="E60" s="10" t="s">
        <v>181</v>
      </c>
      <c r="F60" s="10" t="s">
        <v>182</v>
      </c>
      <c r="G60" s="11" t="n">
        <v>1</v>
      </c>
      <c r="H60" s="11" t="s">
        <v>53</v>
      </c>
      <c r="I60" s="10" t="s">
        <v>106</v>
      </c>
      <c r="J60" s="11"/>
    </row>
    <row r="61" customFormat="false" ht="15" hidden="false" customHeight="false" outlineLevel="0" collapsed="false">
      <c r="A61" s="13" t="s">
        <v>179</v>
      </c>
      <c r="B61" s="9" t="s">
        <v>180</v>
      </c>
      <c r="C61" s="13" t="s">
        <v>147</v>
      </c>
      <c r="D61" s="9" t="s">
        <v>31</v>
      </c>
      <c r="E61" s="10" t="s">
        <v>127</v>
      </c>
      <c r="F61" s="10" t="s">
        <v>60</v>
      </c>
      <c r="G61" s="11" t="n">
        <v>1.5</v>
      </c>
      <c r="H61" s="11" t="s">
        <v>53</v>
      </c>
      <c r="I61" s="10" t="s">
        <v>128</v>
      </c>
      <c r="J61" s="11"/>
    </row>
    <row r="62" customFormat="false" ht="15" hidden="false" customHeight="false" outlineLevel="0" collapsed="false">
      <c r="A62" s="13" t="s">
        <v>179</v>
      </c>
      <c r="B62" s="9" t="s">
        <v>180</v>
      </c>
      <c r="C62" s="13" t="s">
        <v>147</v>
      </c>
      <c r="D62" s="9" t="s">
        <v>95</v>
      </c>
      <c r="E62" s="10" t="s">
        <v>183</v>
      </c>
      <c r="F62" s="10" t="s">
        <v>56</v>
      </c>
      <c r="G62" s="11" t="n">
        <v>1</v>
      </c>
      <c r="H62" s="11" t="s">
        <v>53</v>
      </c>
      <c r="I62" s="10" t="s">
        <v>184</v>
      </c>
      <c r="J62" s="11"/>
    </row>
    <row r="63" customFormat="false" ht="15" hidden="false" customHeight="false" outlineLevel="0" collapsed="false">
      <c r="A63" s="13" t="s">
        <v>179</v>
      </c>
      <c r="B63" s="9" t="s">
        <v>180</v>
      </c>
      <c r="C63" s="13" t="s">
        <v>147</v>
      </c>
      <c r="D63" s="9" t="s">
        <v>185</v>
      </c>
      <c r="E63" s="10" t="s">
        <v>186</v>
      </c>
      <c r="F63" s="10" t="s">
        <v>187</v>
      </c>
      <c r="G63" s="11" t="n">
        <v>0.5</v>
      </c>
      <c r="H63" s="11" t="s">
        <v>53</v>
      </c>
      <c r="I63" s="10" t="s">
        <v>166</v>
      </c>
      <c r="J63" s="11"/>
    </row>
    <row r="64" customFormat="false" ht="15" hidden="false" customHeight="false" outlineLevel="0" collapsed="false">
      <c r="A64" s="14"/>
      <c r="B64" s="14"/>
      <c r="C64" s="14"/>
      <c r="D64" s="14"/>
      <c r="E64" s="15" t="s">
        <v>188</v>
      </c>
      <c r="F64" s="14"/>
      <c r="G64" s="16" t="n">
        <f aca="false">SUM(G2:G63)</f>
        <v>105</v>
      </c>
      <c r="H64" s="14"/>
      <c r="I64" s="14"/>
      <c r="J64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5" min="5" style="0" width="22"/>
  </cols>
  <sheetData>
    <row r="1" customFormat="false" ht="19.7" hidden="false" customHeight="false" outlineLevel="0" collapsed="false">
      <c r="A1" s="1" t="s">
        <v>189</v>
      </c>
    </row>
    <row r="2" customFormat="false" ht="15" hidden="false" customHeight="false" outlineLevel="0" collapsed="false">
      <c r="A2" s="2" t="s">
        <v>190</v>
      </c>
    </row>
    <row r="4" customFormat="false" ht="15" hidden="false" customHeight="false" outlineLevel="0" collapsed="false">
      <c r="A4" s="7" t="s">
        <v>191</v>
      </c>
      <c r="B4" s="7" t="s">
        <v>192</v>
      </c>
      <c r="C4" s="7" t="s">
        <v>43</v>
      </c>
      <c r="D4" s="7" t="s">
        <v>42</v>
      </c>
      <c r="E4" s="7" t="s">
        <v>193</v>
      </c>
    </row>
    <row r="5" customFormat="false" ht="15" hidden="false" customHeight="false" outlineLevel="0" collapsed="false">
      <c r="A5" s="10" t="s">
        <v>194</v>
      </c>
      <c r="B5" s="11" t="s">
        <v>195</v>
      </c>
      <c r="C5" s="11" t="n">
        <v>3</v>
      </c>
      <c r="D5" s="10" t="s">
        <v>196</v>
      </c>
      <c r="E5" s="10" t="s">
        <v>197</v>
      </c>
    </row>
    <row r="6" customFormat="false" ht="15" hidden="false" customHeight="false" outlineLevel="0" collapsed="false">
      <c r="A6" s="10" t="s">
        <v>198</v>
      </c>
      <c r="B6" s="11" t="s">
        <v>195</v>
      </c>
      <c r="C6" s="11" t="n">
        <v>1</v>
      </c>
      <c r="D6" s="10" t="s">
        <v>70</v>
      </c>
      <c r="E6" s="10" t="s">
        <v>199</v>
      </c>
    </row>
    <row r="7" customFormat="false" ht="15" hidden="false" customHeight="false" outlineLevel="0" collapsed="false">
      <c r="A7" s="10" t="s">
        <v>200</v>
      </c>
      <c r="B7" s="11" t="s">
        <v>195</v>
      </c>
      <c r="C7" s="11" t="n">
        <v>1</v>
      </c>
      <c r="D7" s="10" t="s">
        <v>90</v>
      </c>
      <c r="E7" s="10" t="s">
        <v>201</v>
      </c>
    </row>
    <row r="8" customFormat="false" ht="15" hidden="false" customHeight="false" outlineLevel="0" collapsed="false">
      <c r="A8" s="10" t="s">
        <v>202</v>
      </c>
      <c r="B8" s="11" t="s">
        <v>195</v>
      </c>
      <c r="C8" s="11" t="n">
        <v>1</v>
      </c>
      <c r="D8" s="10" t="s">
        <v>60</v>
      </c>
      <c r="E8" s="10" t="s">
        <v>203</v>
      </c>
    </row>
    <row r="9" customFormat="false" ht="15" hidden="false" customHeight="false" outlineLevel="0" collapsed="false">
      <c r="A9" s="10" t="s">
        <v>204</v>
      </c>
      <c r="B9" s="11" t="s">
        <v>195</v>
      </c>
      <c r="C9" s="11" t="n">
        <v>1</v>
      </c>
      <c r="D9" s="10" t="s">
        <v>205</v>
      </c>
      <c r="E9" s="10" t="s">
        <v>206</v>
      </c>
    </row>
    <row r="10" customFormat="false" ht="15" hidden="false" customHeight="false" outlineLevel="0" collapsed="false">
      <c r="A10" s="10" t="s">
        <v>207</v>
      </c>
      <c r="B10" s="11" t="s">
        <v>195</v>
      </c>
      <c r="C10" s="11" t="n">
        <v>0.5</v>
      </c>
      <c r="D10" s="10" t="s">
        <v>56</v>
      </c>
      <c r="E10" s="10" t="s">
        <v>208</v>
      </c>
    </row>
    <row r="11" customFormat="false" ht="15" hidden="false" customHeight="false" outlineLevel="0" collapsed="false">
      <c r="A11" s="17" t="s">
        <v>209</v>
      </c>
      <c r="B11" s="14"/>
      <c r="C11" s="16" t="n">
        <f aca="false">SUM(C5:C10)</f>
        <v>7.5</v>
      </c>
      <c r="D11" s="14"/>
      <c r="E11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92"/>
  </cols>
  <sheetData>
    <row r="1" customFormat="false" ht="19.7" hidden="false" customHeight="false" outlineLevel="0" collapsed="false">
      <c r="A1" s="1" t="s">
        <v>210</v>
      </c>
    </row>
    <row r="2" customFormat="false" ht="15" hidden="false" customHeight="false" outlineLevel="0" collapsed="false">
      <c r="A2" s="2" t="s">
        <v>211</v>
      </c>
    </row>
    <row r="4" customFormat="false" ht="15" hidden="false" customHeight="false" outlineLevel="0" collapsed="false">
      <c r="A4" s="7" t="s">
        <v>212</v>
      </c>
      <c r="B4" s="7" t="s">
        <v>213</v>
      </c>
      <c r="C4" s="7" t="s">
        <v>214</v>
      </c>
      <c r="D4" s="7" t="s">
        <v>215</v>
      </c>
    </row>
    <row r="5" customFormat="false" ht="57.45" hidden="false" customHeight="false" outlineLevel="0" collapsed="false">
      <c r="A5" s="18" t="s">
        <v>216</v>
      </c>
      <c r="B5" s="10" t="s">
        <v>217</v>
      </c>
      <c r="C5" s="10" t="s">
        <v>218</v>
      </c>
      <c r="D5" s="10" t="s">
        <v>219</v>
      </c>
    </row>
    <row r="6" customFormat="false" ht="35.05" hidden="false" customHeight="false" outlineLevel="0" collapsed="false">
      <c r="A6" s="18" t="s">
        <v>220</v>
      </c>
      <c r="B6" s="10" t="s">
        <v>221</v>
      </c>
      <c r="C6" s="10" t="s">
        <v>222</v>
      </c>
      <c r="D6" s="10" t="s">
        <v>223</v>
      </c>
    </row>
    <row r="7" customFormat="false" ht="46.25" hidden="false" customHeight="false" outlineLevel="0" collapsed="false">
      <c r="A7" s="18" t="s">
        <v>224</v>
      </c>
      <c r="B7" s="10" t="s">
        <v>225</v>
      </c>
      <c r="C7" s="10" t="s">
        <v>226</v>
      </c>
      <c r="D7" s="10" t="s">
        <v>227</v>
      </c>
    </row>
    <row r="8" customFormat="false" ht="35.05" hidden="false" customHeight="false" outlineLevel="0" collapsed="false">
      <c r="A8" s="18" t="s">
        <v>228</v>
      </c>
      <c r="B8" s="10" t="s">
        <v>229</v>
      </c>
      <c r="C8" s="10" t="s">
        <v>230</v>
      </c>
      <c r="D8" s="10" t="s">
        <v>231</v>
      </c>
    </row>
    <row r="9" customFormat="false" ht="35.05" hidden="false" customHeight="false" outlineLevel="0" collapsed="false">
      <c r="A9" s="18" t="s">
        <v>232</v>
      </c>
      <c r="B9" s="10" t="s">
        <v>233</v>
      </c>
      <c r="C9" s="10" t="s">
        <v>234</v>
      </c>
      <c r="D9" s="10" t="s">
        <v>235</v>
      </c>
    </row>
    <row r="10" customFormat="false" ht="35.05" hidden="false" customHeight="false" outlineLevel="0" collapsed="false">
      <c r="A10" s="18" t="s">
        <v>236</v>
      </c>
      <c r="B10" s="10" t="s">
        <v>237</v>
      </c>
      <c r="C10" s="10" t="s">
        <v>238</v>
      </c>
      <c r="D10" s="10" t="s">
        <v>239</v>
      </c>
    </row>
    <row r="11" customFormat="false" ht="35.05" hidden="false" customHeight="false" outlineLevel="0" collapsed="false">
      <c r="A11" s="18" t="s">
        <v>240</v>
      </c>
      <c r="B11" s="10" t="s">
        <v>241</v>
      </c>
      <c r="C11" s="10" t="s">
        <v>242</v>
      </c>
      <c r="D11" s="10" t="s">
        <v>243</v>
      </c>
    </row>
    <row r="12" customFormat="false" ht="23.85" hidden="false" customHeight="false" outlineLevel="0" collapsed="false">
      <c r="A12" s="18" t="s">
        <v>244</v>
      </c>
      <c r="B12" s="10" t="s">
        <v>245</v>
      </c>
      <c r="C12" s="10" t="s">
        <v>246</v>
      </c>
      <c r="D12" s="10" t="s">
        <v>247</v>
      </c>
    </row>
    <row r="13" customFormat="false" ht="23.85" hidden="false" customHeight="false" outlineLevel="0" collapsed="false">
      <c r="A13" s="18" t="s">
        <v>248</v>
      </c>
      <c r="B13" s="10" t="s">
        <v>249</v>
      </c>
      <c r="C13" s="10" t="s">
        <v>250</v>
      </c>
      <c r="D13" s="10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4" min="3" style="0" width="13"/>
    <col collapsed="false" customWidth="true" hidden="false" outlineLevel="0" max="5" min="5" style="0" width="40"/>
  </cols>
  <sheetData>
    <row r="1" customFormat="false" ht="19.7" hidden="false" customHeight="false" outlineLevel="0" collapsed="false">
      <c r="A1" s="1" t="s">
        <v>252</v>
      </c>
    </row>
    <row r="2" customFormat="false" ht="15" hidden="false" customHeight="false" outlineLevel="0" collapsed="false">
      <c r="A2" s="2" t="s">
        <v>253</v>
      </c>
    </row>
    <row r="4" customFormat="false" ht="15" hidden="false" customHeight="false" outlineLevel="0" collapsed="false">
      <c r="A4" s="7" t="s">
        <v>254</v>
      </c>
      <c r="B4" s="7" t="s">
        <v>255</v>
      </c>
      <c r="C4" s="7" t="s">
        <v>256</v>
      </c>
      <c r="D4" s="7" t="s">
        <v>257</v>
      </c>
      <c r="E4" s="7" t="s">
        <v>258</v>
      </c>
    </row>
    <row r="5" customFormat="false" ht="23.85" hidden="false" customHeight="false" outlineLevel="0" collapsed="false">
      <c r="A5" s="10" t="s">
        <v>259</v>
      </c>
      <c r="B5" s="10" t="s">
        <v>260</v>
      </c>
      <c r="C5" s="19" t="n">
        <v>0</v>
      </c>
      <c r="D5" s="19" t="n">
        <v>20</v>
      </c>
      <c r="E5" s="10" t="s">
        <v>261</v>
      </c>
    </row>
    <row r="6" customFormat="false" ht="15" hidden="false" customHeight="false" outlineLevel="0" collapsed="false">
      <c r="A6" s="10" t="s">
        <v>262</v>
      </c>
      <c r="B6" s="10" t="s">
        <v>263</v>
      </c>
      <c r="C6" s="19" t="n">
        <v>0</v>
      </c>
      <c r="D6" s="19" t="n">
        <v>0</v>
      </c>
      <c r="E6" s="10" t="s">
        <v>264</v>
      </c>
    </row>
    <row r="7" customFormat="false" ht="15" hidden="false" customHeight="false" outlineLevel="0" collapsed="false">
      <c r="A7" s="10" t="s">
        <v>265</v>
      </c>
      <c r="B7" s="10" t="s">
        <v>266</v>
      </c>
      <c r="C7" s="19" t="n">
        <v>0</v>
      </c>
      <c r="D7" s="19" t="n">
        <v>9</v>
      </c>
      <c r="E7" s="10" t="s">
        <v>267</v>
      </c>
    </row>
    <row r="8" customFormat="false" ht="23.85" hidden="false" customHeight="false" outlineLevel="0" collapsed="false">
      <c r="A8" s="10" t="s">
        <v>268</v>
      </c>
      <c r="B8" s="10" t="s">
        <v>269</v>
      </c>
      <c r="C8" s="19" t="n">
        <v>0</v>
      </c>
      <c r="D8" s="19" t="n">
        <v>30</v>
      </c>
      <c r="E8" s="10" t="s">
        <v>270</v>
      </c>
    </row>
    <row r="9" customFormat="false" ht="15" hidden="false" customHeight="false" outlineLevel="0" collapsed="false">
      <c r="A9" s="10" t="s">
        <v>271</v>
      </c>
      <c r="B9" s="10" t="s">
        <v>272</v>
      </c>
      <c r="C9" s="19" t="n">
        <v>0</v>
      </c>
      <c r="D9" s="19" t="n">
        <v>15</v>
      </c>
      <c r="E9" s="10" t="s">
        <v>273</v>
      </c>
    </row>
    <row r="10" customFormat="false" ht="23.85" hidden="false" customHeight="false" outlineLevel="0" collapsed="false">
      <c r="A10" s="10" t="s">
        <v>274</v>
      </c>
      <c r="B10" s="10" t="s">
        <v>275</v>
      </c>
      <c r="C10" s="19" t="n">
        <v>0</v>
      </c>
      <c r="D10" s="19" t="n">
        <v>0</v>
      </c>
      <c r="E10" s="10" t="s">
        <v>276</v>
      </c>
    </row>
    <row r="11" customFormat="false" ht="15" hidden="false" customHeight="false" outlineLevel="0" collapsed="false">
      <c r="A11" s="10" t="s">
        <v>277</v>
      </c>
      <c r="B11" s="10" t="s">
        <v>278</v>
      </c>
      <c r="C11" s="19" t="n">
        <v>0</v>
      </c>
      <c r="D11" s="19" t="n">
        <v>15</v>
      </c>
      <c r="E11" s="10" t="s">
        <v>279</v>
      </c>
    </row>
    <row r="12" customFormat="false" ht="15" hidden="false" customHeight="false" outlineLevel="0" collapsed="false">
      <c r="A12" s="14"/>
      <c r="B12" s="17" t="s">
        <v>280</v>
      </c>
      <c r="C12" s="20" t="n">
        <f aca="false">SUM(C5:C11)</f>
        <v>0</v>
      </c>
      <c r="D12" s="20" t="n">
        <f aca="false">SUM(D5:D11)</f>
        <v>89</v>
      </c>
      <c r="E12" s="14"/>
    </row>
    <row r="13" customFormat="false" ht="15" hidden="false" customHeight="false" outlineLevel="0" collapsed="false">
      <c r="B13" s="2" t="s">
        <v>281</v>
      </c>
      <c r="D13" s="21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0"/>
  </cols>
  <sheetData>
    <row r="1" customFormat="false" ht="19.7" hidden="false" customHeight="false" outlineLevel="0" collapsed="false">
      <c r="A1" s="1" t="s">
        <v>282</v>
      </c>
    </row>
    <row r="2" customFormat="false" ht="15" hidden="false" customHeight="false" outlineLevel="0" collapsed="false">
      <c r="A2" s="2" t="s">
        <v>283</v>
      </c>
    </row>
    <row r="4" customFormat="false" ht="15" hidden="false" customHeight="false" outlineLevel="0" collapsed="false">
      <c r="A4" s="5" t="s">
        <v>284</v>
      </c>
    </row>
    <row r="5" customFormat="false" ht="26.85" hidden="false" customHeight="false" outlineLevel="0" collapsed="false">
      <c r="A5" s="7" t="s">
        <v>285</v>
      </c>
      <c r="B5" s="7" t="s">
        <v>286</v>
      </c>
      <c r="C5" s="7" t="s">
        <v>287</v>
      </c>
    </row>
    <row r="6" customFormat="false" ht="35.05" hidden="false" customHeight="false" outlineLevel="0" collapsed="false">
      <c r="A6" s="10" t="s">
        <v>288</v>
      </c>
      <c r="B6" s="11" t="s">
        <v>289</v>
      </c>
      <c r="C6" s="11" t="s">
        <v>290</v>
      </c>
    </row>
    <row r="7" customFormat="false" ht="15" hidden="false" customHeight="false" outlineLevel="0" collapsed="false">
      <c r="A7" s="10" t="s">
        <v>291</v>
      </c>
      <c r="B7" s="11" t="s">
        <v>292</v>
      </c>
      <c r="C7" s="11" t="s">
        <v>293</v>
      </c>
    </row>
    <row r="8" customFormat="false" ht="35.05" hidden="false" customHeight="false" outlineLevel="0" collapsed="false">
      <c r="A8" s="10" t="s">
        <v>294</v>
      </c>
      <c r="B8" s="11" t="s">
        <v>295</v>
      </c>
      <c r="C8" s="11" t="s">
        <v>296</v>
      </c>
    </row>
    <row r="9" customFormat="false" ht="46.25" hidden="false" customHeight="false" outlineLevel="0" collapsed="false">
      <c r="A9" s="10" t="s">
        <v>297</v>
      </c>
      <c r="B9" s="11" t="s">
        <v>298</v>
      </c>
      <c r="C9" s="11" t="s">
        <v>293</v>
      </c>
    </row>
    <row r="10" customFormat="false" ht="15" hidden="false" customHeight="false" outlineLevel="0" collapsed="false">
      <c r="A10" s="10" t="s">
        <v>299</v>
      </c>
      <c r="B10" s="11" t="s">
        <v>300</v>
      </c>
      <c r="C10" s="11" t="s">
        <v>293</v>
      </c>
    </row>
    <row r="11" customFormat="false" ht="46.25" hidden="false" customHeight="false" outlineLevel="0" collapsed="false">
      <c r="A11" s="10" t="s">
        <v>301</v>
      </c>
      <c r="B11" s="11" t="s">
        <v>302</v>
      </c>
      <c r="C11" s="11" t="s">
        <v>303</v>
      </c>
    </row>
    <row r="13" customFormat="false" ht="15" hidden="false" customHeight="false" outlineLevel="0" collapsed="false">
      <c r="A13" s="5" t="s">
        <v>304</v>
      </c>
    </row>
    <row r="14" customFormat="false" ht="26.85" hidden="false" customHeight="false" outlineLevel="0" collapsed="false">
      <c r="A14" s="7" t="s">
        <v>37</v>
      </c>
      <c r="B14" s="7" t="s">
        <v>305</v>
      </c>
      <c r="C14" s="7" t="s">
        <v>306</v>
      </c>
      <c r="D14" s="7" t="s">
        <v>29</v>
      </c>
      <c r="E14" s="7" t="s">
        <v>307</v>
      </c>
      <c r="F14" s="7" t="s">
        <v>308</v>
      </c>
      <c r="G14" s="7" t="s">
        <v>309</v>
      </c>
      <c r="H14" s="7" t="s">
        <v>310</v>
      </c>
      <c r="I14" s="7" t="s">
        <v>311</v>
      </c>
      <c r="J14" s="7" t="s">
        <v>312</v>
      </c>
    </row>
    <row r="15" customFormat="false" ht="15" hidden="false" customHeight="false" outlineLevel="0" collapsed="false">
      <c r="A15" s="11" t="s">
        <v>313</v>
      </c>
      <c r="B15" s="11"/>
      <c r="C15" s="11"/>
      <c r="D15" s="11"/>
      <c r="E15" s="11"/>
      <c r="F15" s="11"/>
      <c r="G15" s="11"/>
      <c r="H15" s="22" t="str">
        <f aca="false">IFERROR(G15/F15,"-")</f>
        <v>-</v>
      </c>
      <c r="I15" s="11"/>
      <c r="J15" s="19"/>
    </row>
    <row r="16" customFormat="false" ht="15" hidden="false" customHeight="false" outlineLevel="0" collapsed="false">
      <c r="A16" s="11" t="s">
        <v>314</v>
      </c>
      <c r="B16" s="11"/>
      <c r="C16" s="11"/>
      <c r="D16" s="11"/>
      <c r="E16" s="11"/>
      <c r="F16" s="11"/>
      <c r="G16" s="11"/>
      <c r="H16" s="22" t="str">
        <f aca="false">IFERROR(G16/F16,"-")</f>
        <v>-</v>
      </c>
      <c r="I16" s="11"/>
      <c r="J16" s="19"/>
    </row>
    <row r="17" customFormat="false" ht="15" hidden="false" customHeight="false" outlineLevel="0" collapsed="false">
      <c r="A17" s="11" t="s">
        <v>315</v>
      </c>
      <c r="B17" s="11"/>
      <c r="C17" s="11"/>
      <c r="D17" s="11"/>
      <c r="E17" s="11"/>
      <c r="F17" s="11"/>
      <c r="G17" s="11"/>
      <c r="H17" s="22" t="str">
        <f aca="false">IFERROR(G17/F17,"-")</f>
        <v>-</v>
      </c>
      <c r="I17" s="11"/>
      <c r="J17" s="19"/>
    </row>
    <row r="18" customFormat="false" ht="15" hidden="false" customHeight="false" outlineLevel="0" collapsed="false">
      <c r="A18" s="11" t="s">
        <v>316</v>
      </c>
      <c r="B18" s="11"/>
      <c r="C18" s="11"/>
      <c r="D18" s="11"/>
      <c r="E18" s="11"/>
      <c r="F18" s="11"/>
      <c r="G18" s="11"/>
      <c r="H18" s="22" t="str">
        <f aca="false">IFERROR(G18/F18,"-")</f>
        <v>-</v>
      </c>
      <c r="I18" s="11"/>
      <c r="J18" s="19"/>
    </row>
    <row r="19" customFormat="false" ht="15" hidden="false" customHeight="false" outlineLevel="0" collapsed="false">
      <c r="A19" s="11" t="s">
        <v>317</v>
      </c>
      <c r="B19" s="11"/>
      <c r="C19" s="11"/>
      <c r="D19" s="11"/>
      <c r="E19" s="11"/>
      <c r="F19" s="11"/>
      <c r="G19" s="11"/>
      <c r="H19" s="22" t="str">
        <f aca="false">IFERROR(G19/F19,"-")</f>
        <v>-</v>
      </c>
      <c r="I19" s="11"/>
      <c r="J19" s="19"/>
    </row>
    <row r="20" customFormat="false" ht="15" hidden="false" customHeight="false" outlineLevel="0" collapsed="false">
      <c r="A20" s="11" t="s">
        <v>318</v>
      </c>
      <c r="B20" s="11"/>
      <c r="C20" s="11"/>
      <c r="D20" s="11"/>
      <c r="E20" s="11"/>
      <c r="F20" s="11"/>
      <c r="G20" s="11"/>
      <c r="H20" s="22" t="str">
        <f aca="false">IFERROR(G20/F20,"-")</f>
        <v>-</v>
      </c>
      <c r="I20" s="11"/>
      <c r="J20" s="19"/>
    </row>
    <row r="21" customFormat="false" ht="15" hidden="false" customHeight="false" outlineLevel="0" collapsed="false">
      <c r="A21" s="11" t="s">
        <v>319</v>
      </c>
      <c r="B21" s="11"/>
      <c r="C21" s="11"/>
      <c r="D21" s="11"/>
      <c r="E21" s="11"/>
      <c r="F21" s="11"/>
      <c r="G21" s="11"/>
      <c r="H21" s="22" t="str">
        <f aca="false">IFERROR(G21/F21,"-")</f>
        <v>-</v>
      </c>
      <c r="I21" s="11"/>
      <c r="J21" s="19"/>
    </row>
    <row r="22" customFormat="false" ht="15" hidden="false" customHeight="false" outlineLevel="0" collapsed="false">
      <c r="A22" s="11" t="s">
        <v>320</v>
      </c>
      <c r="B22" s="11"/>
      <c r="C22" s="11"/>
      <c r="D22" s="11"/>
      <c r="E22" s="11"/>
      <c r="F22" s="11"/>
      <c r="G22" s="11"/>
      <c r="H22" s="22" t="str">
        <f aca="false">IFERROR(G22/F22,"-")</f>
        <v>-</v>
      </c>
      <c r="I22" s="11"/>
      <c r="J22" s="19"/>
    </row>
    <row r="23" customFormat="false" ht="15" hidden="false" customHeight="false" outlineLevel="0" collapsed="false">
      <c r="A23" s="11" t="s">
        <v>321</v>
      </c>
      <c r="B23" s="11"/>
      <c r="C23" s="11"/>
      <c r="D23" s="11"/>
      <c r="E23" s="11"/>
      <c r="F23" s="11"/>
      <c r="G23" s="11"/>
      <c r="H23" s="22" t="str">
        <f aca="false">IFERROR(G23/F23,"-")</f>
        <v>-</v>
      </c>
      <c r="I23" s="11"/>
      <c r="J23" s="19"/>
    </row>
    <row r="24" customFormat="false" ht="15" hidden="false" customHeight="false" outlineLevel="0" collapsed="false">
      <c r="A24" s="11" t="s">
        <v>322</v>
      </c>
      <c r="B24" s="11"/>
      <c r="C24" s="11"/>
      <c r="D24" s="11"/>
      <c r="E24" s="11"/>
      <c r="F24" s="11"/>
      <c r="G24" s="11"/>
      <c r="H24" s="22" t="str">
        <f aca="false">IFERROR(G24/F24,"-")</f>
        <v>-</v>
      </c>
      <c r="I24" s="11"/>
      <c r="J24" s="19"/>
    </row>
    <row r="25" customFormat="false" ht="15" hidden="false" customHeight="false" outlineLevel="0" collapsed="false">
      <c r="A25" s="11" t="s">
        <v>323</v>
      </c>
      <c r="B25" s="11"/>
      <c r="C25" s="11"/>
      <c r="D25" s="11"/>
      <c r="E25" s="11"/>
      <c r="F25" s="11"/>
      <c r="G25" s="11"/>
      <c r="H25" s="22" t="str">
        <f aca="false">IFERROR(G25/F25,"-")</f>
        <v>-</v>
      </c>
      <c r="I25" s="11"/>
      <c r="J25" s="19"/>
    </row>
    <row r="26" customFormat="false" ht="15" hidden="false" customHeight="false" outlineLevel="0" collapsed="false">
      <c r="A26" s="11" t="s">
        <v>324</v>
      </c>
      <c r="B26" s="11"/>
      <c r="C26" s="11"/>
      <c r="D26" s="11"/>
      <c r="E26" s="11"/>
      <c r="F26" s="11"/>
      <c r="G26" s="11"/>
      <c r="H26" s="22" t="str">
        <f aca="false">IFERROR(G26/F26,"-")</f>
        <v>-</v>
      </c>
      <c r="I26" s="11"/>
      <c r="J26" s="19"/>
    </row>
    <row r="27" customFormat="false" ht="15" hidden="false" customHeight="false" outlineLevel="0" collapsed="false">
      <c r="A27" s="17" t="s">
        <v>280</v>
      </c>
      <c r="B27" s="16" t="n">
        <f aca="false">SUM(B15:B26)</f>
        <v>0</v>
      </c>
      <c r="C27" s="16" t="n">
        <f aca="false">SUM(C15:C26)</f>
        <v>0</v>
      </c>
      <c r="D27" s="16" t="n">
        <f aca="false">SUM(D15:D26)</f>
        <v>0</v>
      </c>
      <c r="E27" s="16" t="n">
        <f aca="false">SUM(E15:E26)</f>
        <v>0</v>
      </c>
      <c r="F27" s="16" t="n">
        <f aca="false">SUM(F15:F26)</f>
        <v>0</v>
      </c>
      <c r="G27" s="16" t="n">
        <f aca="false">SUM(G15:G26)</f>
        <v>0</v>
      </c>
      <c r="H27" s="23" t="str">
        <f aca="false">IFERROR(G27/F27,"-")</f>
        <v>-</v>
      </c>
      <c r="I27" s="16" t="n">
        <f aca="false">SUM(I15:I26)</f>
        <v>0</v>
      </c>
      <c r="J27" s="20" t="n">
        <f aca="false">SUM(J15:J26)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2026-06-02T18:39:45Z</dcterms:created>
  <dc:creator>openpyxl</dc:creator>
  <dc:description/>
  <dc:language>en-US</dc:language>
  <cp:lastModifiedBy/>
  <dcterms:modified xsi:type="dcterms:W3CDTF">2026-06-02T18:39:45Z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